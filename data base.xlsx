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ловарь" sheetId="1" state="visible" r:id="rId1"/>
    <sheet xmlns:r="http://schemas.openxmlformats.org/officeDocument/2006/relationships" name="Фенология" sheetId="2" state="visible" r:id="rId2"/>
    <sheet xmlns:r="http://schemas.openxmlformats.org/officeDocument/2006/relationships" name="Болезни" sheetId="3" state="visible" r:id="rId3"/>
    <sheet xmlns:r="http://schemas.openxmlformats.org/officeDocument/2006/relationships" name="Питание" sheetId="4" state="visible" r:id="rId4"/>
    <sheet xmlns:r="http://schemas.openxmlformats.org/officeDocument/2006/relationships" name="Препараты" sheetId="5" state="visible" r:id="rId5"/>
    <sheet xmlns:r="http://schemas.openxmlformats.org/officeDocument/2006/relationships" name="Погода" sheetId="6" state="visible" r:id="rId6"/>
    <sheet xmlns:r="http://schemas.openxmlformats.org/officeDocument/2006/relationships" name="Совместимость" sheetId="7" state="visible" r:id="rId7"/>
    <sheet xmlns:r="http://schemas.openxmlformats.org/officeDocument/2006/relationships" name="ЧП_Протоколы" sheetId="8" state="visible" r:id="rId8"/>
  </sheets>
  <definedNames>
    <definedName name="_xlnm._FilterDatabase" localSheetId="0" hidden="1">'Словарь'!$A$1:$E$19</definedName>
    <definedName name="_xlnm._FilterDatabase" localSheetId="1" hidden="1">'Фенология'!$A$1:$F$16</definedName>
    <definedName name="_xlnm._FilterDatabase" localSheetId="2" hidden="1">'Болезни'!$A$1:$I$46</definedName>
    <definedName name="_xlnm._FilterDatabase" localSheetId="4" hidden="1">'Препараты'!$A$1:$O$16</definedName>
    <definedName name="_xlnm._FilterDatabase" localSheetId="5" hidden="1">'Погода'!$A$1:$E$11</definedName>
    <definedName name="_xlnm._FilterDatabase" localSheetId="7" hidden="1">'ЧП_Протоколы'!$A$1:$L$7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B7B4E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3" borderId="0" pivotButton="0" quotePrefix="0" xfId="0"/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.6" customWidth="1" min="2" max="2"/>
    <col width="35.1" customWidth="1" min="3" max="3"/>
    <col width="30.6" customWidth="1" min="4" max="4"/>
    <col width="36" customWidth="1" min="5" max="5"/>
  </cols>
  <sheetData>
    <row r="1">
      <c r="A1" s="1" t="inlineStr">
        <is>
          <t>Entity_Type</t>
        </is>
      </c>
      <c r="B1" s="1" t="inlineStr">
        <is>
          <t>Code</t>
        </is>
      </c>
      <c r="C1" s="1" t="inlineStr">
        <is>
          <t>Name_RU</t>
        </is>
      </c>
      <c r="D1" s="1" t="inlineStr">
        <is>
          <t>Scientific_Name</t>
        </is>
      </c>
      <c r="E1" s="1" t="inlineStr">
        <is>
          <t>Notes</t>
        </is>
      </c>
    </row>
    <row r="2">
      <c r="A2" s="2" t="inlineStr">
        <is>
          <t>Disease</t>
        </is>
      </c>
      <c r="B2" s="2" t="inlineStr">
        <is>
          <t>APPLE_SCAB</t>
        </is>
      </c>
      <c r="C2" s="2" t="inlineStr">
        <is>
          <t>Парша яблони</t>
        </is>
      </c>
      <c r="D2" s="2" t="inlineStr">
        <is>
          <t>Venturia inaequalis</t>
        </is>
      </c>
      <c r="E2" s="2" t="inlineStr">
        <is>
          <t>Основная болезнь; используйте код везде</t>
        </is>
      </c>
    </row>
    <row r="3">
      <c r="A3" s="2" t="inlineStr">
        <is>
          <t>Disease</t>
        </is>
      </c>
      <c r="B3" s="2" t="inlineStr">
        <is>
          <t>POWDERY_MILDEW</t>
        </is>
      </c>
      <c r="C3" s="2" t="inlineStr">
        <is>
          <t>Мучнистая роса</t>
        </is>
      </c>
      <c r="D3" s="2" t="inlineStr">
        <is>
          <t>Podosphaera leucotricha</t>
        </is>
      </c>
      <c r="E3" s="2" t="inlineStr">
        <is>
          <t>Споры не требуют свободной воды</t>
        </is>
      </c>
    </row>
    <row r="4">
      <c r="A4" s="2" t="inlineStr">
        <is>
          <t>Disease</t>
        </is>
      </c>
      <c r="B4" s="2" t="inlineStr">
        <is>
          <t>FIRE_BLIGHT</t>
        </is>
      </c>
      <c r="C4" s="2" t="inlineStr">
        <is>
          <t>Бактериальный ожог</t>
        </is>
      </c>
      <c r="D4" s="2" t="inlineStr">
        <is>
          <t>Erwinia amylovora</t>
        </is>
      </c>
      <c r="E4" s="2" t="inlineStr">
        <is>
          <t>Риск в цветение; индекс EIP</t>
        </is>
      </c>
    </row>
    <row r="5">
      <c r="A5" s="2" t="inlineStr">
        <is>
          <t>Pest</t>
        </is>
      </c>
      <c r="B5" s="2" t="inlineStr">
        <is>
          <t>CODLING_MOTH</t>
        </is>
      </c>
      <c r="C5" s="2" t="inlineStr">
        <is>
          <t>Яблонная плодожорка</t>
        </is>
      </c>
      <c r="D5" s="2" t="inlineStr">
        <is>
          <t>Cydia pomonella</t>
        </is>
      </c>
      <c r="E5" s="2" t="inlineStr">
        <is>
          <t>Порог: ~5 мотыльков/ловушка/неделя</t>
        </is>
      </c>
    </row>
    <row r="6">
      <c r="A6" s="2" t="inlineStr">
        <is>
          <t>Pest</t>
        </is>
      </c>
      <c r="B6" s="2" t="inlineStr">
        <is>
          <t>APHID</t>
        </is>
      </c>
      <c r="C6" s="2" t="inlineStr">
        <is>
          <t>Тля яблонная (группа)</t>
        </is>
      </c>
      <c r="D6" s="2" t="inlineStr">
        <is>
          <t>Aphis spp.</t>
        </is>
      </c>
      <c r="E6" s="2" t="inlineStr">
        <is>
          <t>Порог: 10–15% побегов с колониями</t>
        </is>
      </c>
    </row>
    <row r="7">
      <c r="A7" s="2" t="inlineStr">
        <is>
          <t>Pest</t>
        </is>
      </c>
      <c r="B7" s="2" t="inlineStr">
        <is>
          <t>MITE</t>
        </is>
      </c>
      <c r="C7" s="2" t="inlineStr">
        <is>
          <t>Клещи (группа)</t>
        </is>
      </c>
      <c r="D7" s="2" t="inlineStr">
        <is>
          <t>Panonychus ulmi / Tetranychus spp.</t>
        </is>
      </c>
      <c r="E7" s="2" t="inlineStr">
        <is>
          <t>Порог: &gt;5–10 особей/лист</t>
        </is>
      </c>
    </row>
    <row r="8">
      <c r="A8" s="2" t="inlineStr">
        <is>
          <t>Chem_Group</t>
        </is>
      </c>
      <c r="B8" s="2" t="inlineStr">
        <is>
          <t>COPPER</t>
        </is>
      </c>
      <c r="C8" s="2" t="inlineStr">
        <is>
          <t>Медьсодержащие (Cu)</t>
        </is>
      </c>
      <c r="D8" s="2" t="inlineStr"/>
      <c r="E8" s="2" t="inlineStr">
        <is>
          <t>Не смешивать с некоторыми продуктами</t>
        </is>
      </c>
    </row>
    <row r="9">
      <c r="A9" s="2" t="inlineStr">
        <is>
          <t>Chem_Group</t>
        </is>
      </c>
      <c r="B9" s="2" t="inlineStr">
        <is>
          <t>SULFUR</t>
        </is>
      </c>
      <c r="C9" s="2" t="inlineStr">
        <is>
          <t>Сера</t>
        </is>
      </c>
      <c r="D9" s="2" t="inlineStr"/>
      <c r="E9" s="2" t="inlineStr">
        <is>
          <t>С маслами — риск ожога</t>
        </is>
      </c>
    </row>
    <row r="10">
      <c r="A10" s="2" t="inlineStr">
        <is>
          <t>Chem_Group</t>
        </is>
      </c>
      <c r="B10" s="2" t="inlineStr">
        <is>
          <t>OIL</t>
        </is>
      </c>
      <c r="C10" s="2" t="inlineStr">
        <is>
          <t>Масляные препараты</t>
        </is>
      </c>
      <c r="D10" s="2" t="inlineStr"/>
      <c r="E10" s="2" t="inlineStr">
        <is>
          <t>Сера/каптан — противопоказано</t>
        </is>
      </c>
    </row>
    <row r="11">
      <c r="A11" s="2" t="inlineStr">
        <is>
          <t>Chem_Group</t>
        </is>
      </c>
      <c r="B11" s="2" t="inlineStr">
        <is>
          <t>CAPTAN</t>
        </is>
      </c>
      <c r="C11" s="2" t="inlineStr">
        <is>
          <t>Каптан</t>
        </is>
      </c>
      <c r="D11" s="2" t="inlineStr"/>
      <c r="E11" s="2" t="inlineStr">
        <is>
          <t>С маслами/ПАВ — риск ожога/русе́ттинга</t>
        </is>
      </c>
    </row>
    <row r="12">
      <c r="A12" s="2" t="inlineStr">
        <is>
          <t>Chem_Group</t>
        </is>
      </c>
      <c r="B12" s="2" t="inlineStr">
        <is>
          <t>DMI</t>
        </is>
      </c>
      <c r="C12" s="2" t="inlineStr">
        <is>
          <t>Триазолы (DMI)</t>
        </is>
      </c>
      <c r="D12" s="2" t="inlineStr"/>
      <c r="E12" s="2" t="inlineStr">
        <is>
          <t>Напр. дифеноконазол</t>
        </is>
      </c>
    </row>
    <row r="13">
      <c r="A13" s="2" t="inlineStr">
        <is>
          <t>Chem_Group</t>
        </is>
      </c>
      <c r="B13" s="2" t="inlineStr">
        <is>
          <t>QoI</t>
        </is>
      </c>
      <c r="C13" s="2" t="inlineStr">
        <is>
          <t>Стробилурины (QoI)</t>
        </is>
      </c>
      <c r="D13" s="2" t="inlineStr"/>
      <c r="E13" s="2" t="inlineStr">
        <is>
          <t>Напр. крезоксим-метил</t>
        </is>
      </c>
    </row>
    <row r="14">
      <c r="A14" s="2" t="inlineStr">
        <is>
          <t>Chem_Group</t>
        </is>
      </c>
      <c r="B14" s="2" t="inlineStr">
        <is>
          <t>SDHI</t>
        </is>
      </c>
      <c r="C14" s="2" t="inlineStr">
        <is>
          <t>SDHI</t>
        </is>
      </c>
      <c r="D14" s="2" t="inlineStr"/>
      <c r="E14" s="2" t="inlineStr">
        <is>
          <t>Напр. флуопирам</t>
        </is>
      </c>
    </row>
    <row r="15">
      <c r="A15" s="2" t="inlineStr">
        <is>
          <t>Chem_Group</t>
        </is>
      </c>
      <c r="B15" s="2" t="inlineStr">
        <is>
          <t>CALCIUM_SALT</t>
        </is>
      </c>
      <c r="C15" s="2" t="inlineStr">
        <is>
          <t>Кальциевые соли</t>
        </is>
      </c>
      <c r="D15" s="2" t="inlineStr"/>
      <c r="E15" s="2" t="inlineStr">
        <is>
          <t>CaCl2, Ca(NO3)2; с фосфитами осадок</t>
        </is>
      </c>
    </row>
    <row r="16">
      <c r="A16" s="2" t="inlineStr">
        <is>
          <t>Chem_Group</t>
        </is>
      </c>
      <c r="B16" s="2" t="inlineStr">
        <is>
          <t>PHOSPHITE</t>
        </is>
      </c>
      <c r="C16" s="2" t="inlineStr">
        <is>
          <t>Фосфиты</t>
        </is>
      </c>
      <c r="D16" s="2" t="inlineStr"/>
      <c r="E16" s="2" t="inlineStr">
        <is>
          <t>Фосфит калия/фосетил-Al</t>
        </is>
      </c>
    </row>
    <row r="17">
      <c r="A17" s="2" t="inlineStr">
        <is>
          <t>Phenology</t>
        </is>
      </c>
      <c r="B17" s="2" t="inlineStr">
        <is>
          <t>BBCH_07</t>
        </is>
      </c>
      <c r="C17" s="2" t="inlineStr">
        <is>
          <t>Зелёный конус</t>
        </is>
      </c>
      <c r="D17" s="2" t="inlineStr"/>
      <c r="E17" s="2" t="inlineStr">
        <is>
          <t>Начало активности почек</t>
        </is>
      </c>
    </row>
    <row r="18">
      <c r="A18" s="2" t="inlineStr">
        <is>
          <t>Phenology</t>
        </is>
      </c>
      <c r="B18" s="2" t="inlineStr">
        <is>
          <t>BBCH_60</t>
        </is>
      </c>
      <c r="C18" s="2" t="inlineStr">
        <is>
          <t>Начало цветения (10%)</t>
        </is>
      </c>
      <c r="D18" s="2" t="inlineStr"/>
      <c r="E18" s="2" t="inlineStr">
        <is>
          <t>Ключ для огнёвки/опылителей</t>
        </is>
      </c>
    </row>
    <row r="19">
      <c r="A19" s="2" t="inlineStr">
        <is>
          <t>Phenology</t>
        </is>
      </c>
      <c r="B19" s="2" t="inlineStr">
        <is>
          <t>BBCH_69</t>
        </is>
      </c>
      <c r="C19" s="2" t="inlineStr">
        <is>
          <t>Окончание цветения (опадение лепестков)</t>
        </is>
      </c>
      <c r="D19" s="2" t="inlineStr"/>
      <c r="E19" s="2" t="inlineStr">
        <is>
          <t>Старт большинства инсектицидов против CM</t>
        </is>
      </c>
    </row>
  </sheetData>
  <autoFilter ref="A1:E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1.5" customWidth="1" min="2" max="2"/>
    <col width="17.1" customWidth="1" min="3" max="3"/>
    <col width="45" customWidth="1" min="4" max="4"/>
    <col width="40.5" customWidth="1" min="5" max="5"/>
    <col width="10" customWidth="1" min="6" max="6"/>
  </cols>
  <sheetData>
    <row r="1">
      <c r="A1" s="1" t="inlineStr">
        <is>
          <t>BBCH_Code</t>
        </is>
      </c>
      <c r="B1" s="1" t="inlineStr">
        <is>
          <t>Stage_Name_RU</t>
        </is>
      </c>
      <c r="C1" s="1" t="inlineStr">
        <is>
          <t>GDD_Threshold_Base5</t>
        </is>
      </c>
      <c r="D1" s="1" t="inlineStr">
        <is>
          <t>Description</t>
        </is>
      </c>
      <c r="E1" s="1" t="inlineStr">
        <is>
          <t>Image_Link</t>
        </is>
      </c>
      <c r="F1" s="1" t="inlineStr">
        <is>
          <t>Source_URL</t>
        </is>
      </c>
    </row>
    <row r="2">
      <c r="A2" s="2" t="n">
        <v>0</v>
      </c>
      <c r="B2" s="2" t="inlineStr">
        <is>
          <t>Период покоя</t>
        </is>
      </c>
      <c r="C2" s="2" t="n">
        <v>0</v>
      </c>
      <c r="D2" s="2" t="inlineStr">
        <is>
          <t>Почки закрыты. Старт отсчёта GDD (база +5°C).</t>
        </is>
      </c>
      <c r="E2" s="2" t="inlineStr">
        <is>
          <t>https://openmoji.org/data/color/svg/1F311.svg</t>
        </is>
      </c>
      <c r="F2" s="2" t="inlineStr"/>
    </row>
    <row r="3">
      <c r="A3" s="2" t="n">
        <v>7</v>
      </c>
      <c r="B3" s="2" t="inlineStr">
        <is>
          <t>Набухание/зелёный конус</t>
        </is>
      </c>
      <c r="C3" s="2" t="n">
        <v>50</v>
      </c>
      <c r="D3" s="2" t="inlineStr">
        <is>
          <t>Появляется зелёный конус; старт ранней защиты от парши.</t>
        </is>
      </c>
      <c r="E3" s="2" t="inlineStr">
        <is>
          <t>https://openmoji.org/data/color/svg/1F331.svg</t>
        </is>
      </c>
      <c r="F3" s="2" t="inlineStr"/>
    </row>
    <row r="4">
      <c r="A4" s="2" t="n">
        <v>9</v>
      </c>
      <c r="B4" s="2" t="inlineStr">
        <is>
          <t>Зелёный конус ~5 мм</t>
        </is>
      </c>
      <c r="C4" s="2" t="n">
        <v>70</v>
      </c>
      <c r="D4" s="2" t="inlineStr">
        <is>
          <t>Первые зелёные кончики листьев ~5 мм.</t>
        </is>
      </c>
      <c r="E4" s="2" t="inlineStr">
        <is>
          <t>https://openmoji.org/data/color/svg/1F33F.svg</t>
        </is>
      </c>
      <c r="F4" s="2" t="inlineStr"/>
    </row>
    <row r="5">
      <c r="A5" s="2" t="n">
        <v>55</v>
      </c>
      <c r="B5" s="2" t="inlineStr">
        <is>
          <t>«Мышиное ушко»</t>
        </is>
      </c>
      <c r="C5" s="2" t="n">
        <v>110</v>
      </c>
      <c r="D5" s="2" t="inlineStr">
        <is>
          <t>Листья раскрываются; видны соцветия.</t>
        </is>
      </c>
      <c r="E5" s="2" t="inlineStr">
        <is>
          <t>https://openmoji.org/data/color/svg/1F343.svg</t>
        </is>
      </c>
      <c r="F5" s="2" t="inlineStr"/>
    </row>
    <row r="6">
      <c r="A6" s="2" t="n">
        <v>57</v>
      </c>
      <c r="B6" s="2" t="inlineStr">
        <is>
          <t>Розовый бутон</t>
        </is>
      </c>
      <c r="C6" s="2" t="n">
        <v>135</v>
      </c>
      <c r="D6" s="2" t="inlineStr">
        <is>
          <t>Бутоны розовеют, лепестки выглядывают.</t>
        </is>
      </c>
      <c r="E6" s="2" t="inlineStr">
        <is>
          <t>https://openmoji.org/data/color/svg/1F338.svg</t>
        </is>
      </c>
      <c r="F6" s="2" t="inlineStr"/>
    </row>
    <row r="7">
      <c r="A7" s="2" t="n">
        <v>60</v>
      </c>
      <c r="B7" s="2" t="inlineStr">
        <is>
          <t>Начало цветения (10%)</t>
        </is>
      </c>
      <c r="C7" s="2" t="n">
        <v>150</v>
      </c>
      <c r="D7" s="2" t="inlineStr">
        <is>
          <t>Первые цветки открыты. Контроль огнёвки/пчёл.</t>
        </is>
      </c>
      <c r="E7" s="2" t="inlineStr">
        <is>
          <t>https://openmoji.org/data/color/svg/1F33A.svg</t>
        </is>
      </c>
      <c r="F7" s="2" t="inlineStr"/>
    </row>
    <row r="8">
      <c r="A8" s="2" t="n">
        <v>65</v>
      </c>
      <c r="B8" s="2" t="inlineStr">
        <is>
          <t>Полное цветение (≥50%)</t>
        </is>
      </c>
      <c r="C8" s="2" t="n">
        <v>165</v>
      </c>
      <c r="D8" s="2" t="inlineStr">
        <is>
          <t>Пик цветения, 7–10 дней у Галы.</t>
        </is>
      </c>
      <c r="E8" s="2" t="inlineStr">
        <is>
          <t>https://openmoji.org/data/color/svg/1F33C.svg</t>
        </is>
      </c>
      <c r="F8" s="2" t="inlineStr"/>
    </row>
    <row r="9">
      <c r="A9" s="2" t="n">
        <v>69</v>
      </c>
      <c r="B9" s="2" t="inlineStr">
        <is>
          <t>Конец цветения (опадение лепестков)</t>
        </is>
      </c>
      <c r="C9" s="2" t="n">
        <v>185</v>
      </c>
      <c r="D9" s="2" t="inlineStr">
        <is>
          <t>Окончание цветения, переход к завязи.</t>
        </is>
      </c>
      <c r="E9" s="2" t="inlineStr">
        <is>
          <t>https://openmoji.org/data/color/svg/1F9E1.svg</t>
        </is>
      </c>
      <c r="F9" s="2" t="inlineStr"/>
    </row>
    <row r="10">
      <c r="A10" s="2" t="n">
        <v>71</v>
      </c>
      <c r="B10" s="2" t="inlineStr">
        <is>
          <t>Завязь 5–10 мм</t>
        </is>
      </c>
      <c r="C10" s="2" t="n">
        <v>210</v>
      </c>
      <c r="D10" s="2" t="inlineStr">
        <is>
          <t>Первые плоды после опадения лепестков.</t>
        </is>
      </c>
      <c r="E10" s="2" t="inlineStr">
        <is>
          <t>https://openmoji.org/data/color/svg/1F34F.svg</t>
        </is>
      </c>
      <c r="F10" s="2" t="inlineStr"/>
    </row>
    <row r="11">
      <c r="A11" s="2" t="n">
        <v>74</v>
      </c>
      <c r="B11" s="2" t="inlineStr">
        <is>
          <t>Плод ~40 мм</t>
        </is>
      </c>
      <c r="C11" s="2" t="n">
        <v>450</v>
      </c>
      <c r="D11" s="2" t="inlineStr">
        <is>
          <t>Активный налив плодов (лето).</t>
        </is>
      </c>
      <c r="E11" s="2" t="inlineStr">
        <is>
          <t>https://openmoji.org/data/color/svg/1F34E.svg</t>
        </is>
      </c>
      <c r="F11" s="2" t="inlineStr"/>
    </row>
    <row r="12">
      <c r="A12" s="2" t="n">
        <v>79</v>
      </c>
      <c r="B12" s="2" t="inlineStr">
        <is>
          <t>Плод ~90% размера</t>
        </is>
      </c>
      <c r="C12" s="2" t="n">
        <v>900</v>
      </c>
      <c r="D12" s="2" t="inlineStr">
        <is>
          <t>Окончание интенсивного роста; фокус на питание/кальций.</t>
        </is>
      </c>
      <c r="E12" s="2" t="inlineStr">
        <is>
          <t>https://openmoji.org/data/color/svg/1F34E.svg</t>
        </is>
      </c>
      <c r="F12" s="2" t="inlineStr"/>
    </row>
    <row r="13">
      <c r="A13" s="2" t="n">
        <v>81</v>
      </c>
      <c r="B13" s="2" t="inlineStr">
        <is>
          <t>Начало созревания (окраска)</t>
        </is>
      </c>
      <c r="C13" s="2" t="n">
        <v>1600</v>
      </c>
      <c r="D13" s="2" t="inlineStr">
        <is>
          <t>Конец августа – начало сентября (оценочно).</t>
        </is>
      </c>
      <c r="E13" s="2" t="inlineStr">
        <is>
          <t>https://openmoji.org/data/color/svg/1F34E.svg</t>
        </is>
      </c>
      <c r="F13" s="2" t="inlineStr"/>
    </row>
    <row r="14">
      <c r="A14" s="2" t="n">
        <v>87</v>
      </c>
      <c r="B14" s="2" t="inlineStr">
        <is>
          <t>Съёмная зрелость</t>
        </is>
      </c>
      <c r="C14" s="2" t="n">
        <v>1900</v>
      </c>
      <c r="D14" s="2" t="inlineStr">
        <is>
          <t>Середина сентября; 1800–2000 GDD до съёмной зрелости.</t>
        </is>
      </c>
      <c r="E14" s="2" t="inlineStr">
        <is>
          <t>https://openmoji.org/data/color/svg/1F34E.svg</t>
        </is>
      </c>
      <c r="F14" s="2" t="inlineStr"/>
    </row>
    <row r="15">
      <c r="A15" s="2" t="n">
        <v>91</v>
      </c>
      <c r="B15" s="2" t="inlineStr">
        <is>
          <t>Начало листопада</t>
        </is>
      </c>
      <c r="C15" s="2" t="n"/>
      <c r="D15" s="2" t="inlineStr">
        <is>
          <t>50% листьев обесцвечены (осень).</t>
        </is>
      </c>
      <c r="E15" s="2" t="inlineStr">
        <is>
          <t>https://openmoji.org/data/color/svg/1F342.svg</t>
        </is>
      </c>
      <c r="F15" s="2" t="inlineStr"/>
    </row>
    <row r="16">
      <c r="A16" s="2" t="n">
        <v>97</v>
      </c>
      <c r="B16" s="2" t="inlineStr">
        <is>
          <t>Конец листопада/покой</t>
        </is>
      </c>
      <c r="C16" s="2" t="n"/>
      <c r="D16" s="2" t="inlineStr">
        <is>
          <t>Октябрь–ноябрь; завершение вегетации ~230–240 дней.</t>
        </is>
      </c>
      <c r="E16" s="2" t="inlineStr">
        <is>
          <t>https://openmoji.org/data/color/svg/1F341.svg</t>
        </is>
      </c>
      <c r="F16" s="2" t="inlineStr"/>
    </row>
  </sheetData>
  <autoFilter ref="A1:F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.6" customWidth="1" min="1" max="1"/>
    <col width="22.5" customWidth="1" min="2" max="2"/>
    <col width="10" customWidth="1" min="3" max="3"/>
    <col width="10" customWidth="1" min="4" max="4"/>
    <col width="21.6" customWidth="1" min="5" max="5"/>
    <col width="24.3" customWidth="1" min="6" max="6"/>
    <col width="22.5" customWidth="1" min="7" max="7"/>
    <col width="45" customWidth="1" min="8" max="8"/>
    <col width="45" customWidth="1" min="9" max="9"/>
  </cols>
  <sheetData>
    <row r="1">
      <c r="A1" s="1" t="inlineStr">
        <is>
          <t>Disease_Code</t>
        </is>
      </c>
      <c r="B1" s="1" t="inlineStr">
        <is>
          <t>Model</t>
        </is>
      </c>
      <c r="C1" s="1" t="inlineStr">
        <is>
          <t>Temp_F</t>
        </is>
      </c>
      <c r="D1" s="1" t="inlineStr">
        <is>
          <t>Temp_C</t>
        </is>
      </c>
      <c r="E1" s="1" t="inlineStr">
        <is>
          <t>Leaf_Wetness_Hours_Light</t>
        </is>
      </c>
      <c r="F1" s="1" t="inlineStr">
        <is>
          <t>Leaf_Wetness_Hours_Moderate</t>
        </is>
      </c>
      <c r="G1" s="1" t="inlineStr">
        <is>
          <t>Leaf_Wetness_Hours_Severe</t>
        </is>
      </c>
      <c r="H1" s="1" t="inlineStr">
        <is>
          <t>Notes</t>
        </is>
      </c>
      <c r="I1" s="1" t="inlineStr">
        <is>
          <t>Source_URL</t>
        </is>
      </c>
    </row>
    <row r="2">
      <c r="A2" s="2" t="inlineStr">
        <is>
          <t>APPLE_SCAB</t>
        </is>
      </c>
      <c r="B2" s="2" t="inlineStr">
        <is>
          <t>Mills (primary infection)</t>
        </is>
      </c>
      <c r="C2" s="2" t="n">
        <v>33</v>
      </c>
      <c r="D2" s="2">
        <f>IF(C2="","",(C2-32)*5/9)</f>
        <v/>
      </c>
      <c r="E2" s="2" t="n">
        <v>17</v>
      </c>
      <c r="F2" s="2" t="n">
        <v>25</v>
      </c>
      <c r="G2" s="2" t="n">
        <v>29</v>
      </c>
      <c r="H2" s="2" t="inlineStr">
        <is>
          <t>Время непрерывной мокрости листа для лёгк./умер./сильного заражения.</t>
        </is>
      </c>
      <c r="I2" s="2" t="inlineStr">
        <is>
          <t>https://ipm.ucanr.edu/agriculture/apple/apple-scab/</t>
        </is>
      </c>
    </row>
    <row r="3">
      <c r="A3" s="2" t="inlineStr">
        <is>
          <t>APPLE_SCAB</t>
        </is>
      </c>
      <c r="B3" s="2" t="inlineStr">
        <is>
          <t>Mills (primary infection)</t>
        </is>
      </c>
      <c r="C3" s="2" t="n">
        <v>34</v>
      </c>
      <c r="D3" s="2">
        <f>IF(C3="","",(C3-32)*5/9)</f>
        <v/>
      </c>
      <c r="E3" s="2" t="n">
        <v>15</v>
      </c>
      <c r="F3" s="2" t="n">
        <v>23</v>
      </c>
      <c r="G3" s="2" t="n">
        <v>28</v>
      </c>
      <c r="H3" s="2" t="inlineStr">
        <is>
          <t>Время непрерывной мокрости листа для лёгк./умер./сильного заражения.</t>
        </is>
      </c>
      <c r="I3" s="2" t="inlineStr">
        <is>
          <t>https://ipm.ucanr.edu/agriculture/apple/apple-scab/</t>
        </is>
      </c>
    </row>
    <row r="4">
      <c r="A4" s="2" t="inlineStr">
        <is>
          <t>APPLE_SCAB</t>
        </is>
      </c>
      <c r="B4" s="2" t="inlineStr">
        <is>
          <t>Mills (primary infection)</t>
        </is>
      </c>
      <c r="C4" s="2" t="n">
        <v>35</v>
      </c>
      <c r="D4" s="2">
        <f>IF(C4="","",(C4-32)*5/9)</f>
        <v/>
      </c>
      <c r="E4" s="2" t="n">
        <v>13</v>
      </c>
      <c r="F4" s="2" t="n">
        <v>21</v>
      </c>
      <c r="G4" s="2" t="n">
        <v>26</v>
      </c>
      <c r="H4" s="2" t="inlineStr">
        <is>
          <t>Время непрерывной мокрости листа для лёгк./умер./сильного заражения.</t>
        </is>
      </c>
      <c r="I4" s="2" t="inlineStr">
        <is>
          <t>https://ipm.ucanr.edu/agriculture/apple/apple-scab/</t>
        </is>
      </c>
    </row>
    <row r="5">
      <c r="A5" s="2" t="inlineStr">
        <is>
          <t>APPLE_SCAB</t>
        </is>
      </c>
      <c r="B5" s="2" t="inlineStr">
        <is>
          <t>Mills (primary infection)</t>
        </is>
      </c>
      <c r="C5" s="2" t="n">
        <v>36</v>
      </c>
      <c r="D5" s="2">
        <f>IF(C5="","",(C5-32)*5/9)</f>
        <v/>
      </c>
      <c r="E5" s="2" t="n">
        <v>12</v>
      </c>
      <c r="F5" s="2" t="n">
        <v>20</v>
      </c>
      <c r="G5" s="2" t="n">
        <v>25</v>
      </c>
      <c r="H5" s="2" t="inlineStr">
        <is>
          <t>Время непрерывной мокрости листа для лёгк./умер./сильного заражения.</t>
        </is>
      </c>
      <c r="I5" s="2" t="inlineStr">
        <is>
          <t>https://ipm.ucanr.edu/agriculture/apple/apple-scab/</t>
        </is>
      </c>
    </row>
    <row r="6">
      <c r="A6" s="2" t="inlineStr">
        <is>
          <t>APPLE_SCAB</t>
        </is>
      </c>
      <c r="B6" s="2" t="inlineStr">
        <is>
          <t>Mills (primary infection)</t>
        </is>
      </c>
      <c r="C6" s="2" t="n">
        <v>37</v>
      </c>
      <c r="D6" s="2">
        <f>IF(C6="","",(C6-32)*5/9)</f>
        <v/>
      </c>
      <c r="E6" s="2" t="n">
        <v>11</v>
      </c>
      <c r="F6" s="2" t="n">
        <v>18</v>
      </c>
      <c r="G6" s="2" t="n">
        <v>23</v>
      </c>
      <c r="H6" s="2" t="inlineStr">
        <is>
          <t>Время непрерывной мокрости листа для лёгк./умер./сильного заражения.</t>
        </is>
      </c>
      <c r="I6" s="2" t="inlineStr">
        <is>
          <t>https://ipm.ucanr.edu/agriculture/apple/apple-scab/</t>
        </is>
      </c>
    </row>
    <row r="7">
      <c r="A7" s="2" t="inlineStr">
        <is>
          <t>APPLE_SCAB</t>
        </is>
      </c>
      <c r="B7" s="2" t="inlineStr">
        <is>
          <t>Mills (primary infection)</t>
        </is>
      </c>
      <c r="C7" s="2" t="n">
        <v>38</v>
      </c>
      <c r="D7" s="2">
        <f>IF(C7="","",(C7-32)*5/9)</f>
        <v/>
      </c>
      <c r="E7" s="2" t="n">
        <v>10</v>
      </c>
      <c r="F7" s="2" t="n">
        <v>17</v>
      </c>
      <c r="G7" s="2" t="n">
        <v>22</v>
      </c>
      <c r="H7" s="2" t="inlineStr">
        <is>
          <t>Время непрерывной мокрости листа для лёгк./умер./сильного заражения.</t>
        </is>
      </c>
      <c r="I7" s="2" t="inlineStr">
        <is>
          <t>https://ipm.ucanr.edu/agriculture/apple/apple-scab/</t>
        </is>
      </c>
    </row>
    <row r="8">
      <c r="A8" s="2" t="inlineStr">
        <is>
          <t>APPLE_SCAB</t>
        </is>
      </c>
      <c r="B8" s="2" t="inlineStr">
        <is>
          <t>Mills (primary infection)</t>
        </is>
      </c>
      <c r="C8" s="2" t="n">
        <v>39</v>
      </c>
      <c r="D8" s="2">
        <f>IF(C8="","",(C8-32)*5/9)</f>
        <v/>
      </c>
      <c r="E8" s="2" t="n">
        <v>9</v>
      </c>
      <c r="F8" s="2" t="n">
        <v>15</v>
      </c>
      <c r="G8" s="2" t="n">
        <v>21</v>
      </c>
      <c r="H8" s="2" t="inlineStr">
        <is>
          <t>Время непрерывной мокрости листа для лёгк./умер./сильного заражения.</t>
        </is>
      </c>
      <c r="I8" s="2" t="inlineStr">
        <is>
          <t>https://ipm.ucanr.edu/agriculture/apple/apple-scab/</t>
        </is>
      </c>
    </row>
    <row r="9">
      <c r="A9" s="2" t="inlineStr">
        <is>
          <t>APPLE_SCAB</t>
        </is>
      </c>
      <c r="B9" s="2" t="inlineStr">
        <is>
          <t>Mills (primary infection)</t>
        </is>
      </c>
      <c r="C9" s="2" t="n">
        <v>40</v>
      </c>
      <c r="D9" s="2">
        <f>IF(C9="","",(C9-32)*5/9)</f>
        <v/>
      </c>
      <c r="E9" s="2" t="n">
        <v>9</v>
      </c>
      <c r="F9" s="2" t="n">
        <v>14</v>
      </c>
      <c r="G9" s="2" t="n">
        <v>19</v>
      </c>
      <c r="H9" s="2" t="inlineStr">
        <is>
          <t>Время непрерывной мокрости листа для лёгк./умер./сильного заражения.</t>
        </is>
      </c>
      <c r="I9" s="2" t="inlineStr">
        <is>
          <t>https://ipm.ucanr.edu/agriculture/apple/apple-scab/</t>
        </is>
      </c>
    </row>
    <row r="10">
      <c r="A10" s="2" t="inlineStr">
        <is>
          <t>APPLE_SCAB</t>
        </is>
      </c>
      <c r="B10" s="2" t="inlineStr">
        <is>
          <t>Mills (primary infection)</t>
        </is>
      </c>
      <c r="C10" s="2" t="n">
        <v>41</v>
      </c>
      <c r="D10" s="2">
        <f>IF(C10="","",(C10-32)*5/9)</f>
        <v/>
      </c>
      <c r="E10" s="2" t="n">
        <v>8</v>
      </c>
      <c r="F10" s="2" t="n">
        <v>13</v>
      </c>
      <c r="G10" s="2" t="n">
        <v>18</v>
      </c>
      <c r="H10" s="2" t="inlineStr">
        <is>
          <t>Время непрерывной мокрости листа для лёгк./умер./сильного заражения.</t>
        </is>
      </c>
      <c r="I10" s="2" t="inlineStr">
        <is>
          <t>https://ipm.ucanr.edu/agriculture/apple/apple-scab/</t>
        </is>
      </c>
    </row>
    <row r="11">
      <c r="A11" s="2" t="inlineStr">
        <is>
          <t>APPLE_SCAB</t>
        </is>
      </c>
      <c r="B11" s="2" t="inlineStr">
        <is>
          <t>Mills (primary infection)</t>
        </is>
      </c>
      <c r="C11" s="2" t="n">
        <v>42</v>
      </c>
      <c r="D11" s="2">
        <f>IF(C11="","",(C11-32)*5/9)</f>
        <v/>
      </c>
      <c r="E11" s="2" t="n">
        <v>8</v>
      </c>
      <c r="F11" s="2" t="n">
        <v>12</v>
      </c>
      <c r="G11" s="2" t="n">
        <v>17</v>
      </c>
      <c r="H11" s="2" t="inlineStr">
        <is>
          <t>Время непрерывной мокрости листа для лёгк./умер./сильного заражения.</t>
        </is>
      </c>
      <c r="I11" s="2" t="inlineStr">
        <is>
          <t>https://ipm.ucanr.edu/agriculture/apple/apple-scab/</t>
        </is>
      </c>
    </row>
    <row r="12">
      <c r="A12" s="2" t="inlineStr">
        <is>
          <t>APPLE_SCAB</t>
        </is>
      </c>
      <c r="B12" s="2" t="inlineStr">
        <is>
          <t>Mills (primary infection)</t>
        </is>
      </c>
      <c r="C12" s="2" t="n">
        <v>43</v>
      </c>
      <c r="D12" s="2">
        <f>IF(C12="","",(C12-32)*5/9)</f>
        <v/>
      </c>
      <c r="E12" s="2" t="n">
        <v>7</v>
      </c>
      <c r="F12" s="2" t="n">
        <v>11</v>
      </c>
      <c r="G12" s="2" t="n">
        <v>16</v>
      </c>
      <c r="H12" s="2" t="inlineStr">
        <is>
          <t>Время непрерывной мокрости листа для лёгк./умер./сильного заражения.</t>
        </is>
      </c>
      <c r="I12" s="2" t="inlineStr">
        <is>
          <t>https://ipm.ucanr.edu/agriculture/apple/apple-scab/</t>
        </is>
      </c>
    </row>
    <row r="13">
      <c r="A13" s="2" t="inlineStr">
        <is>
          <t>APPLE_SCAB</t>
        </is>
      </c>
      <c r="B13" s="2" t="inlineStr">
        <is>
          <t>Mills (primary infection)</t>
        </is>
      </c>
      <c r="C13" s="2" t="n">
        <v>44</v>
      </c>
      <c r="D13" s="2">
        <f>IF(C13="","",(C13-32)*5/9)</f>
        <v/>
      </c>
      <c r="E13" s="2" t="n">
        <v>7</v>
      </c>
      <c r="F13" s="2" t="n">
        <v>10</v>
      </c>
      <c r="G13" s="2" t="n">
        <v>15</v>
      </c>
      <c r="H13" s="2" t="inlineStr">
        <is>
          <t>Время непрерывной мокрости листа для лёгк./умер./сильного заражения.</t>
        </is>
      </c>
      <c r="I13" s="2" t="inlineStr">
        <is>
          <t>https://ipm.ucanr.edu/agriculture/apple/apple-scab/</t>
        </is>
      </c>
    </row>
    <row r="14">
      <c r="A14" s="2" t="inlineStr">
        <is>
          <t>APPLE_SCAB</t>
        </is>
      </c>
      <c r="B14" s="2" t="inlineStr">
        <is>
          <t>Mills (primary infection)</t>
        </is>
      </c>
      <c r="C14" s="2" t="n">
        <v>45</v>
      </c>
      <c r="D14" s="2">
        <f>IF(C14="","",(C14-32)*5/9)</f>
        <v/>
      </c>
      <c r="E14" s="2" t="n">
        <v>7</v>
      </c>
      <c r="F14" s="2" t="n">
        <v>9</v>
      </c>
      <c r="G14" s="2" t="n">
        <v>14</v>
      </c>
      <c r="H14" s="2" t="inlineStr">
        <is>
          <t>Время непрерывной мокрости листа для лёгк./умер./сильного заражения.</t>
        </is>
      </c>
      <c r="I14" s="2" t="inlineStr">
        <is>
          <t>https://ipm.ucanr.edu/agriculture/apple/apple-scab/</t>
        </is>
      </c>
    </row>
    <row r="15">
      <c r="A15" s="2" t="inlineStr">
        <is>
          <t>APPLE_SCAB</t>
        </is>
      </c>
      <c r="B15" s="2" t="inlineStr">
        <is>
          <t>Mills (primary infection)</t>
        </is>
      </c>
      <c r="C15" s="2" t="n">
        <v>46</v>
      </c>
      <c r="D15" s="2">
        <f>IF(C15="","",(C15-32)*5/9)</f>
        <v/>
      </c>
      <c r="E15" s="2" t="n">
        <v>6</v>
      </c>
      <c r="F15" s="2" t="n">
        <v>9</v>
      </c>
      <c r="G15" s="2" t="n">
        <v>13</v>
      </c>
      <c r="H15" s="2" t="inlineStr">
        <is>
          <t>Время непрерывной мокрости листа для лёгк./умер./сильного заражения.</t>
        </is>
      </c>
      <c r="I15" s="2" t="inlineStr">
        <is>
          <t>https://ipm.ucanr.edu/agriculture/apple/apple-scab/</t>
        </is>
      </c>
    </row>
    <row r="16">
      <c r="A16" s="2" t="inlineStr">
        <is>
          <t>APPLE_SCAB</t>
        </is>
      </c>
      <c r="B16" s="2" t="inlineStr">
        <is>
          <t>Mills (primary infection)</t>
        </is>
      </c>
      <c r="C16" s="2" t="n">
        <v>47</v>
      </c>
      <c r="D16" s="2">
        <f>IF(C16="","",(C16-32)*5/9)</f>
        <v/>
      </c>
      <c r="E16" s="2" t="n">
        <v>6</v>
      </c>
      <c r="F16" s="2" t="n">
        <v>8</v>
      </c>
      <c r="G16" s="2" t="n">
        <v>12</v>
      </c>
      <c r="H16" s="2" t="inlineStr">
        <is>
          <t>Время непрерывной мокрости листа для лёгк./умер./сильного заражения.</t>
        </is>
      </c>
      <c r="I16" s="2" t="inlineStr">
        <is>
          <t>https://ipm.ucanr.edu/agriculture/apple/apple-scab/</t>
        </is>
      </c>
    </row>
    <row r="17">
      <c r="A17" s="2" t="inlineStr">
        <is>
          <t>APPLE_SCAB</t>
        </is>
      </c>
      <c r="B17" s="2" t="inlineStr">
        <is>
          <t>Mills (primary infection)</t>
        </is>
      </c>
      <c r="C17" s="2" t="n">
        <v>48</v>
      </c>
      <c r="D17" s="2">
        <f>IF(C17="","",(C17-32)*5/9)</f>
        <v/>
      </c>
      <c r="E17" s="2" t="n">
        <v>6</v>
      </c>
      <c r="F17" s="2" t="n">
        <v>8</v>
      </c>
      <c r="G17" s="2" t="n">
        <v>12</v>
      </c>
      <c r="H17" s="2" t="inlineStr">
        <is>
          <t>Время непрерывной мокрости листа для лёгк./умер./сильного заражения.</t>
        </is>
      </c>
      <c r="I17" s="2" t="inlineStr">
        <is>
          <t>https://ipm.ucanr.edu/agriculture/apple/apple-scab/</t>
        </is>
      </c>
    </row>
    <row r="18">
      <c r="A18" s="2" t="inlineStr">
        <is>
          <t>APPLE_SCAB</t>
        </is>
      </c>
      <c r="B18" s="2" t="inlineStr">
        <is>
          <t>Mills (primary infection)</t>
        </is>
      </c>
      <c r="C18" s="2" t="n">
        <v>49</v>
      </c>
      <c r="D18" s="2">
        <f>IF(C18="","",(C18-32)*5/9)</f>
        <v/>
      </c>
      <c r="E18" s="2" t="n">
        <v>5</v>
      </c>
      <c r="F18" s="2" t="n">
        <v>7</v>
      </c>
      <c r="G18" s="2" t="n">
        <v>11</v>
      </c>
      <c r="H18" s="2" t="inlineStr">
        <is>
          <t>Время непрерывной мокрости листа для лёгк./умер./сильного заражения.</t>
        </is>
      </c>
      <c r="I18" s="2" t="inlineStr">
        <is>
          <t>https://ipm.ucanr.edu/agriculture/apple/apple-scab/</t>
        </is>
      </c>
    </row>
    <row r="19">
      <c r="A19" s="2" t="inlineStr">
        <is>
          <t>APPLE_SCAB</t>
        </is>
      </c>
      <c r="B19" s="2" t="inlineStr">
        <is>
          <t>Mills (primary infection)</t>
        </is>
      </c>
      <c r="C19" s="2" t="n">
        <v>50</v>
      </c>
      <c r="D19" s="2">
        <f>IF(C19="","",(C19-32)*5/9)</f>
        <v/>
      </c>
      <c r="E19" s="2" t="n">
        <v>5</v>
      </c>
      <c r="F19" s="2" t="n">
        <v>7</v>
      </c>
      <c r="G19" s="2" t="n">
        <v>11</v>
      </c>
      <c r="H19" s="2" t="inlineStr">
        <is>
          <t>Время непрерывной мокрости листа для лёгк./умер./сильного заражения.</t>
        </is>
      </c>
      <c r="I19" s="2" t="inlineStr">
        <is>
          <t>https://ipm.ucanr.edu/agriculture/apple/apple-scab/</t>
        </is>
      </c>
    </row>
    <row r="20">
      <c r="A20" s="2" t="inlineStr">
        <is>
          <t>APPLE_SCAB</t>
        </is>
      </c>
      <c r="B20" s="2" t="inlineStr">
        <is>
          <t>Mills (primary infection)</t>
        </is>
      </c>
      <c r="C20" s="2" t="n">
        <v>51</v>
      </c>
      <c r="D20" s="2">
        <f>IF(C20="","",(C20-32)*5/9)</f>
        <v/>
      </c>
      <c r="E20" s="2" t="n">
        <v>5</v>
      </c>
      <c r="F20" s="2" t="n">
        <v>6</v>
      </c>
      <c r="G20" s="2" t="n">
        <v>10</v>
      </c>
      <c r="H20" s="2" t="inlineStr">
        <is>
          <t>Время непрерывной мокрости листа для лёгк./умер./сильного заражения.</t>
        </is>
      </c>
      <c r="I20" s="2" t="inlineStr">
        <is>
          <t>https://ipm.ucanr.edu/agriculture/apple/apple-scab/</t>
        </is>
      </c>
    </row>
    <row r="21">
      <c r="A21" s="2" t="inlineStr">
        <is>
          <t>APPLE_SCAB</t>
        </is>
      </c>
      <c r="B21" s="2" t="inlineStr">
        <is>
          <t>Mills (primary infection)</t>
        </is>
      </c>
      <c r="C21" s="2" t="n">
        <v>52</v>
      </c>
      <c r="D21" s="2">
        <f>IF(C21="","",(C21-32)*5/9)</f>
        <v/>
      </c>
      <c r="E21" s="2" t="n">
        <v>5</v>
      </c>
      <c r="F21" s="2" t="n">
        <v>6</v>
      </c>
      <c r="G21" s="2" t="n">
        <v>10</v>
      </c>
      <c r="H21" s="2" t="inlineStr">
        <is>
          <t>Время непрерывной мокрости листа для лёгк./умер./сильного заражения.</t>
        </is>
      </c>
      <c r="I21" s="2" t="inlineStr">
        <is>
          <t>https://ipm.ucanr.edu/agriculture/apple/apple-scab/</t>
        </is>
      </c>
    </row>
    <row r="22">
      <c r="A22" s="2" t="inlineStr">
        <is>
          <t>APPLE_SCAB</t>
        </is>
      </c>
      <c r="B22" s="2" t="inlineStr">
        <is>
          <t>Mills (primary infection)</t>
        </is>
      </c>
      <c r="C22" s="2" t="n">
        <v>53</v>
      </c>
      <c r="D22" s="2">
        <f>IF(C22="","",(C22-32)*5/9)</f>
        <v/>
      </c>
      <c r="E22" s="2" t="n">
        <v>5</v>
      </c>
      <c r="F22" s="2" t="n">
        <v>6</v>
      </c>
      <c r="G22" s="2" t="n">
        <v>9</v>
      </c>
      <c r="H22" s="2" t="inlineStr">
        <is>
          <t>Время непрерывной мокрости листа для лёгк./умер./сильного заражения.</t>
        </is>
      </c>
      <c r="I22" s="2" t="inlineStr">
        <is>
          <t>https://ipm.ucanr.edu/agriculture/apple/apple-scab/</t>
        </is>
      </c>
    </row>
    <row r="23">
      <c r="A23" s="2" t="inlineStr">
        <is>
          <t>APPLE_SCAB</t>
        </is>
      </c>
      <c r="B23" s="2" t="inlineStr">
        <is>
          <t>Mills (primary infection)</t>
        </is>
      </c>
      <c r="C23" s="2" t="n">
        <v>54</v>
      </c>
      <c r="D23" s="2">
        <f>IF(C23="","",(C23-32)*5/9)</f>
        <v/>
      </c>
      <c r="E23" s="2" t="n">
        <v>5</v>
      </c>
      <c r="F23" s="2" t="n">
        <v>5</v>
      </c>
      <c r="G23" s="2" t="n">
        <v>9</v>
      </c>
      <c r="H23" s="2" t="inlineStr">
        <is>
          <t>Время непрерывной мокрости листа для лёгк./умер./сильного заражения.</t>
        </is>
      </c>
      <c r="I23" s="2" t="inlineStr">
        <is>
          <t>https://ipm.ucanr.edu/agriculture/apple/apple-scab/</t>
        </is>
      </c>
    </row>
    <row r="24">
      <c r="A24" s="2" t="inlineStr">
        <is>
          <t>APPLE_SCAB</t>
        </is>
      </c>
      <c r="B24" s="2" t="inlineStr">
        <is>
          <t>Mills (primary infection)</t>
        </is>
      </c>
      <c r="C24" s="2" t="n">
        <v>55</v>
      </c>
      <c r="D24" s="2">
        <f>IF(C24="","",(C24-32)*5/9)</f>
        <v/>
      </c>
      <c r="E24" s="2" t="n">
        <v>5</v>
      </c>
      <c r="F24" s="2" t="n">
        <v>5</v>
      </c>
      <c r="G24" s="2" t="n">
        <v>9</v>
      </c>
      <c r="H24" s="2" t="inlineStr">
        <is>
          <t>Время непрерывной мокрости листа для лёгк./умер./сильного заражения.</t>
        </is>
      </c>
      <c r="I24" s="2" t="inlineStr">
        <is>
          <t>https://ipm.ucanr.edu/agriculture/apple/apple-scab/</t>
        </is>
      </c>
    </row>
    <row r="25">
      <c r="A25" s="2" t="inlineStr">
        <is>
          <t>APPLE_SCAB</t>
        </is>
      </c>
      <c r="B25" s="2" t="inlineStr">
        <is>
          <t>Mills (primary infection)</t>
        </is>
      </c>
      <c r="C25" s="2" t="n">
        <v>56</v>
      </c>
      <c r="D25" s="2">
        <f>IF(C25="","",(C25-32)*5/9)</f>
        <v/>
      </c>
      <c r="E25" s="2" t="n">
        <v>4</v>
      </c>
      <c r="F25" s="2" t="n">
        <v>5</v>
      </c>
      <c r="G25" s="2" t="n">
        <v>8</v>
      </c>
      <c r="H25" s="2" t="inlineStr">
        <is>
          <t>Время непрерывной мокрости листа для лёгк./умер./сильного заражения.</t>
        </is>
      </c>
      <c r="I25" s="2" t="inlineStr">
        <is>
          <t>https://ipm.ucanr.edu/agriculture/apple/apple-scab/</t>
        </is>
      </c>
    </row>
    <row r="26">
      <c r="A26" s="2" t="inlineStr">
        <is>
          <t>APPLE_SCAB</t>
        </is>
      </c>
      <c r="B26" s="2" t="inlineStr">
        <is>
          <t>Mills (primary infection)</t>
        </is>
      </c>
      <c r="C26" s="2" t="n">
        <v>57</v>
      </c>
      <c r="D26" s="2">
        <f>IF(C26="","",(C26-32)*5/9)</f>
        <v/>
      </c>
      <c r="E26" s="2" t="n">
        <v>4</v>
      </c>
      <c r="F26" s="2" t="n">
        <v>5</v>
      </c>
      <c r="G26" s="2" t="n">
        <v>8</v>
      </c>
      <c r="H26" s="2" t="inlineStr">
        <is>
          <t>Время непрерывной мокрости листа для лёгк./умер./сильного заражения.</t>
        </is>
      </c>
      <c r="I26" s="2" t="inlineStr">
        <is>
          <t>https://ipm.ucanr.edu/agriculture/apple/apple-scab/</t>
        </is>
      </c>
    </row>
    <row r="27">
      <c r="A27" s="2" t="inlineStr">
        <is>
          <t>APPLE_SCAB</t>
        </is>
      </c>
      <c r="B27" s="2" t="inlineStr">
        <is>
          <t>Mills (primary infection)</t>
        </is>
      </c>
      <c r="C27" s="2" t="n">
        <v>58</v>
      </c>
      <c r="D27" s="2">
        <f>IF(C27="","",(C27-32)*5/9)</f>
        <v/>
      </c>
      <c r="E27" s="2" t="n">
        <v>4</v>
      </c>
      <c r="F27" s="2" t="n">
        <v>4</v>
      </c>
      <c r="G27" s="2" t="n">
        <v>8</v>
      </c>
      <c r="H27" s="2" t="inlineStr">
        <is>
          <t>Время непрерывной мокрости листа для лёгк./умер./сильного заражения.</t>
        </is>
      </c>
      <c r="I27" s="2" t="inlineStr">
        <is>
          <t>https://ipm.ucanr.edu/agriculture/apple/apple-scab/</t>
        </is>
      </c>
    </row>
    <row r="28">
      <c r="A28" s="2" t="inlineStr">
        <is>
          <t>APPLE_SCAB</t>
        </is>
      </c>
      <c r="B28" s="2" t="inlineStr">
        <is>
          <t>Mills (primary infection)</t>
        </is>
      </c>
      <c r="C28" s="2" t="n">
        <v>59</v>
      </c>
      <c r="D28" s="2">
        <f>IF(C28="","",(C28-32)*5/9)</f>
        <v/>
      </c>
      <c r="E28" s="2" t="n">
        <v>4</v>
      </c>
      <c r="F28" s="2" t="n">
        <v>4</v>
      </c>
      <c r="G28" s="2" t="n">
        <v>7</v>
      </c>
      <c r="H28" s="2" t="inlineStr">
        <is>
          <t>Время непрерывной мокрости листа для лёгк./умер./сильного заражения.</t>
        </is>
      </c>
      <c r="I28" s="2" t="inlineStr">
        <is>
          <t>https://ipm.ucanr.edu/agriculture/apple/apple-scab/</t>
        </is>
      </c>
    </row>
    <row r="29">
      <c r="A29" s="2" t="inlineStr">
        <is>
          <t>APPLE_SCAB</t>
        </is>
      </c>
      <c r="B29" s="2" t="inlineStr">
        <is>
          <t>Mills (primary infection)</t>
        </is>
      </c>
      <c r="C29" s="2" t="n">
        <v>60</v>
      </c>
      <c r="D29" s="2">
        <f>IF(C29="","",(C29-32)*5/9)</f>
        <v/>
      </c>
      <c r="E29" s="2" t="n">
        <v>4</v>
      </c>
      <c r="F29" s="2" t="n">
        <v>4</v>
      </c>
      <c r="G29" s="2" t="n">
        <v>7</v>
      </c>
      <c r="H29" s="2" t="inlineStr">
        <is>
          <t>Время непрерывной мокрости листа для лёгк./умер./сильного заражения.</t>
        </is>
      </c>
      <c r="I29" s="2" t="inlineStr">
        <is>
          <t>https://ipm.ucanr.edu/agriculture/apple/apple-scab/</t>
        </is>
      </c>
    </row>
    <row r="30">
      <c r="A30" s="2" t="inlineStr">
        <is>
          <t>APPLE_SCAB</t>
        </is>
      </c>
      <c r="B30" s="2" t="inlineStr">
        <is>
          <t>Mills (primary infection)</t>
        </is>
      </c>
      <c r="C30" s="2" t="n">
        <v>61</v>
      </c>
      <c r="D30" s="2">
        <f>IF(C30="","",(C30-32)*5/9)</f>
        <v/>
      </c>
      <c r="E30" s="2" t="n">
        <v>4</v>
      </c>
      <c r="F30" s="2" t="n">
        <v>4</v>
      </c>
      <c r="G30" s="2" t="n">
        <v>7</v>
      </c>
      <c r="H30" s="2" t="inlineStr">
        <is>
          <t>Время непрерывной мокрости листа для лёгк./умер./сильного заражения.</t>
        </is>
      </c>
      <c r="I30" s="2" t="inlineStr">
        <is>
          <t>https://ipm.ucanr.edu/agriculture/apple/apple-scab/</t>
        </is>
      </c>
    </row>
    <row r="31">
      <c r="A31" s="2" t="inlineStr">
        <is>
          <t>APPLE_SCAB</t>
        </is>
      </c>
      <c r="B31" s="2" t="inlineStr">
        <is>
          <t>Mills (primary infection)</t>
        </is>
      </c>
      <c r="C31" s="2" t="n">
        <v>62</v>
      </c>
      <c r="D31" s="2">
        <f>IF(C31="","",(C31-32)*5/9)</f>
        <v/>
      </c>
      <c r="E31" s="2" t="n">
        <v>4</v>
      </c>
      <c r="F31" s="2" t="n">
        <v>4</v>
      </c>
      <c r="G31" s="2" t="n">
        <v>7</v>
      </c>
      <c r="H31" s="2" t="inlineStr">
        <is>
          <t>Время непрерывной мокрости листа для лёгк./умер./сильного заражения.</t>
        </is>
      </c>
      <c r="I31" s="2" t="inlineStr">
        <is>
          <t>https://ipm.ucanr.edu/agriculture/apple/apple-scab/</t>
        </is>
      </c>
    </row>
    <row r="32">
      <c r="A32" s="2" t="inlineStr">
        <is>
          <t>APPLE_SCAB</t>
        </is>
      </c>
      <c r="B32" s="2" t="inlineStr">
        <is>
          <t>Mills (primary infection)</t>
        </is>
      </c>
      <c r="C32" s="2" t="n">
        <v>63</v>
      </c>
      <c r="D32" s="2">
        <f>IF(C32="","",(C32-32)*5/9)</f>
        <v/>
      </c>
      <c r="E32" s="2" t="n">
        <v>4</v>
      </c>
      <c r="F32" s="2" t="n">
        <v>4</v>
      </c>
      <c r="G32" s="2" t="n">
        <v>7</v>
      </c>
      <c r="H32" s="2" t="inlineStr">
        <is>
          <t>Время непрерывной мокрости листа для лёгк./умер./сильного заражения.</t>
        </is>
      </c>
      <c r="I32" s="2" t="inlineStr">
        <is>
          <t>https://ipm.ucanr.edu/agriculture/apple/apple-scab/</t>
        </is>
      </c>
    </row>
    <row r="33">
      <c r="A33" s="2" t="inlineStr">
        <is>
          <t>APPLE_SCAB</t>
        </is>
      </c>
      <c r="B33" s="2" t="inlineStr">
        <is>
          <t>Mills (primary infection)</t>
        </is>
      </c>
      <c r="C33" s="2" t="n">
        <v>64</v>
      </c>
      <c r="D33" s="2">
        <f>IF(C33="","",(C33-32)*5/9)</f>
        <v/>
      </c>
      <c r="E33" s="2" t="n">
        <v>4</v>
      </c>
      <c r="F33" s="2" t="n">
        <v>4</v>
      </c>
      <c r="G33" s="2" t="n">
        <v>7</v>
      </c>
      <c r="H33" s="2" t="inlineStr">
        <is>
          <t>Время непрерывной мокрости листа для лёгк./умер./сильного заражения.</t>
        </is>
      </c>
      <c r="I33" s="2" t="inlineStr">
        <is>
          <t>https://ipm.ucanr.edu/agriculture/apple/apple-scab/</t>
        </is>
      </c>
    </row>
    <row r="34">
      <c r="A34" s="2" t="inlineStr">
        <is>
          <t>APPLE_SCAB</t>
        </is>
      </c>
      <c r="B34" s="2" t="inlineStr">
        <is>
          <t>Mills (primary infection)</t>
        </is>
      </c>
      <c r="C34" s="2" t="n">
        <v>65</v>
      </c>
      <c r="D34" s="2">
        <f>IF(C34="","",(C34-32)*5/9)</f>
        <v/>
      </c>
      <c r="E34" s="2" t="n">
        <v>4</v>
      </c>
      <c r="F34" s="2" t="n">
        <v>4</v>
      </c>
      <c r="G34" s="2" t="n">
        <v>7</v>
      </c>
      <c r="H34" s="2" t="inlineStr">
        <is>
          <t>Время непрерывной мокрости листа для лёгк./умер./сильного заражения.</t>
        </is>
      </c>
      <c r="I34" s="2" t="inlineStr">
        <is>
          <t>https://ipm.ucanr.edu/agriculture/apple/apple-scab/</t>
        </is>
      </c>
    </row>
    <row r="35">
      <c r="A35" s="2" t="inlineStr">
        <is>
          <t>APPLE_SCAB</t>
        </is>
      </c>
      <c r="B35" s="2" t="inlineStr">
        <is>
          <t>Mills (primary infection)</t>
        </is>
      </c>
      <c r="C35" s="2" t="n">
        <v>66</v>
      </c>
      <c r="D35" s="2">
        <f>IF(C35="","",(C35-32)*5/9)</f>
        <v/>
      </c>
      <c r="E35" s="2" t="n">
        <v>4</v>
      </c>
      <c r="F35" s="2" t="n">
        <v>4</v>
      </c>
      <c r="G35" s="2" t="n">
        <v>7</v>
      </c>
      <c r="H35" s="2" t="inlineStr">
        <is>
          <t>Время непрерывной мокрости листа для лёгк./умер./сильного заражения.</t>
        </is>
      </c>
      <c r="I35" s="2" t="inlineStr">
        <is>
          <t>https://ipm.ucanr.edu/agriculture/apple/apple-scab/</t>
        </is>
      </c>
    </row>
    <row r="36">
      <c r="A36" s="2" t="inlineStr">
        <is>
          <t>APPLE_SCAB</t>
        </is>
      </c>
      <c r="B36" s="2" t="inlineStr">
        <is>
          <t>Mills (primary infection)</t>
        </is>
      </c>
      <c r="C36" s="2" t="n">
        <v>67</v>
      </c>
      <c r="D36" s="2">
        <f>IF(C36="","",(C36-32)*5/9)</f>
        <v/>
      </c>
      <c r="E36" s="2" t="n">
        <v>4</v>
      </c>
      <c r="F36" s="2" t="n">
        <v>4</v>
      </c>
      <c r="G36" s="2" t="n">
        <v>7</v>
      </c>
      <c r="H36" s="2" t="inlineStr">
        <is>
          <t>Время непрерывной мокрости листа для лёгк./умер./сильного заражения.</t>
        </is>
      </c>
      <c r="I36" s="2" t="inlineStr">
        <is>
          <t>https://ipm.ucanr.edu/agriculture/apple/apple-scab/</t>
        </is>
      </c>
    </row>
    <row r="37">
      <c r="A37" s="2" t="inlineStr">
        <is>
          <t>APPLE_SCAB</t>
        </is>
      </c>
      <c r="B37" s="2" t="inlineStr">
        <is>
          <t>Mills (primary infection)</t>
        </is>
      </c>
      <c r="C37" s="2" t="n">
        <v>68</v>
      </c>
      <c r="D37" s="2">
        <f>IF(C37="","",(C37-32)*5/9)</f>
        <v/>
      </c>
      <c r="E37" s="2" t="n">
        <v>4</v>
      </c>
      <c r="F37" s="2" t="n">
        <v>4</v>
      </c>
      <c r="G37" s="2" t="n">
        <v>7</v>
      </c>
      <c r="H37" s="2" t="inlineStr">
        <is>
          <t>Время непрерывной мокрости листа для лёгк./умер./сильного заражения.</t>
        </is>
      </c>
      <c r="I37" s="2" t="inlineStr">
        <is>
          <t>https://ipm.ucanr.edu/agriculture/apple/apple-scab/</t>
        </is>
      </c>
    </row>
    <row r="38">
      <c r="A38" s="2" t="inlineStr">
        <is>
          <t>APPLE_SCAB</t>
        </is>
      </c>
      <c r="B38" s="2" t="inlineStr">
        <is>
          <t>Mills (primary infection)</t>
        </is>
      </c>
      <c r="C38" s="2" t="n">
        <v>69</v>
      </c>
      <c r="D38" s="2">
        <f>IF(C38="","",(C38-32)*5/9)</f>
        <v/>
      </c>
      <c r="E38" s="2" t="n">
        <v>4</v>
      </c>
      <c r="F38" s="2" t="n">
        <v>4</v>
      </c>
      <c r="G38" s="2" t="n">
        <v>7</v>
      </c>
      <c r="H38" s="2" t="inlineStr">
        <is>
          <t>Время непрерывной мокрости листа для лёгк./умер./сильного заражения.</t>
        </is>
      </c>
      <c r="I38" s="2" t="inlineStr">
        <is>
          <t>https://ipm.ucanr.edu/agriculture/apple/apple-scab/</t>
        </is>
      </c>
    </row>
    <row r="39">
      <c r="A39" s="2" t="inlineStr">
        <is>
          <t>APPLE_SCAB</t>
        </is>
      </c>
      <c r="B39" s="2" t="inlineStr">
        <is>
          <t>Mills (primary infection)</t>
        </is>
      </c>
      <c r="C39" s="2" t="n">
        <v>70</v>
      </c>
      <c r="D39" s="2">
        <f>IF(C39="","",(C39-32)*5/9)</f>
        <v/>
      </c>
      <c r="E39" s="2" t="n">
        <v>4</v>
      </c>
      <c r="F39" s="2" t="n">
        <v>4</v>
      </c>
      <c r="G39" s="2" t="n">
        <v>7</v>
      </c>
      <c r="H39" s="2" t="inlineStr">
        <is>
          <t>Время непрерывной мокрости листа для лёгк./умер./сильного заражения.</t>
        </is>
      </c>
      <c r="I39" s="2" t="inlineStr">
        <is>
          <t>https://ipm.ucanr.edu/agriculture/apple/apple-scab/</t>
        </is>
      </c>
    </row>
    <row r="40">
      <c r="A40" s="2" t="inlineStr">
        <is>
          <t>APPLE_SCAB</t>
        </is>
      </c>
      <c r="B40" s="2" t="inlineStr">
        <is>
          <t>Mills (primary infection)</t>
        </is>
      </c>
      <c r="C40" s="2" t="n">
        <v>71</v>
      </c>
      <c r="D40" s="2">
        <f>IF(C40="","",(C40-32)*5/9)</f>
        <v/>
      </c>
      <c r="E40" s="2" t="n">
        <v>4</v>
      </c>
      <c r="F40" s="2" t="n">
        <v>4</v>
      </c>
      <c r="G40" s="2" t="n">
        <v>7</v>
      </c>
      <c r="H40" s="2" t="inlineStr">
        <is>
          <t>Время непрерывной мокрости листа для лёгк./умер./сильного заражения.</t>
        </is>
      </c>
      <c r="I40" s="2" t="inlineStr">
        <is>
          <t>https://ipm.ucanr.edu/agriculture/apple/apple-scab/</t>
        </is>
      </c>
    </row>
    <row r="41">
      <c r="A41" s="2" t="inlineStr">
        <is>
          <t>APPLE_SCAB</t>
        </is>
      </c>
      <c r="B41" s="2" t="inlineStr">
        <is>
          <t>Mills (primary infection)</t>
        </is>
      </c>
      <c r="C41" s="2" t="n">
        <v>72</v>
      </c>
      <c r="D41" s="2">
        <f>IF(C41="","",(C41-32)*5/9)</f>
        <v/>
      </c>
      <c r="E41" s="2" t="n">
        <v>4</v>
      </c>
      <c r="F41" s="2" t="n">
        <v>4</v>
      </c>
      <c r="G41" s="2" t="n">
        <v>7</v>
      </c>
      <c r="H41" s="2" t="inlineStr">
        <is>
          <t>Время непрерывной мокрости листа для лёгк./умер./сильного заражения.</t>
        </is>
      </c>
      <c r="I41" s="2" t="inlineStr">
        <is>
          <t>https://ipm.ucanr.edu/agriculture/apple/apple-scab/</t>
        </is>
      </c>
    </row>
    <row r="42">
      <c r="A42" s="2" t="inlineStr">
        <is>
          <t>APPLE_SCAB</t>
        </is>
      </c>
      <c r="B42" s="2" t="inlineStr">
        <is>
          <t>Mills (primary infection)</t>
        </is>
      </c>
      <c r="C42" s="2" t="n">
        <v>73</v>
      </c>
      <c r="D42" s="2">
        <f>IF(C42="","",(C42-32)*5/9)</f>
        <v/>
      </c>
      <c r="E42" s="2" t="n">
        <v>4</v>
      </c>
      <c r="F42" s="2" t="n">
        <v>4</v>
      </c>
      <c r="G42" s="2" t="n">
        <v>7</v>
      </c>
      <c r="H42" s="2" t="inlineStr">
        <is>
          <t>Время непрерывной мокрости листа для лёгк./умер./сильного заражения.</t>
        </is>
      </c>
      <c r="I42" s="2" t="inlineStr">
        <is>
          <t>https://ipm.ucanr.edu/agriculture/apple/apple-scab/</t>
        </is>
      </c>
    </row>
    <row r="43">
      <c r="A43" s="2" t="inlineStr">
        <is>
          <t>APPLE_SCAB</t>
        </is>
      </c>
      <c r="B43" s="2" t="inlineStr">
        <is>
          <t>Mills (primary infection)</t>
        </is>
      </c>
      <c r="C43" s="2" t="n">
        <v>74</v>
      </c>
      <c r="D43" s="2">
        <f>IF(C43="","",(C43-32)*5/9)</f>
        <v/>
      </c>
      <c r="E43" s="2" t="n">
        <v>4</v>
      </c>
      <c r="F43" s="2" t="n">
        <v>4</v>
      </c>
      <c r="G43" s="2" t="n">
        <v>7</v>
      </c>
      <c r="H43" s="2" t="inlineStr">
        <is>
          <t>Время непрерывной мокрости листа для лёгк./умер./сильного заражения.</t>
        </is>
      </c>
      <c r="I43" s="2" t="inlineStr">
        <is>
          <t>https://ipm.ucanr.edu/agriculture/apple/apple-scab/</t>
        </is>
      </c>
    </row>
    <row r="44">
      <c r="A44" s="2" t="inlineStr">
        <is>
          <t>APPLE_SCAB</t>
        </is>
      </c>
      <c r="B44" s="2" t="inlineStr">
        <is>
          <t>Mills (primary infection)</t>
        </is>
      </c>
      <c r="C44" s="2" t="n">
        <v>75</v>
      </c>
      <c r="D44" s="2">
        <f>IF(C44="","",(C44-32)*5/9)</f>
        <v/>
      </c>
      <c r="E44" s="2" t="n">
        <v>4</v>
      </c>
      <c r="F44" s="2" t="n">
        <v>4</v>
      </c>
      <c r="G44" s="2" t="n">
        <v>7</v>
      </c>
      <c r="H44" s="2" t="inlineStr">
        <is>
          <t>Время непрерывной мокрости листа для лёгк./умер./сильного заражения.</t>
        </is>
      </c>
      <c r="I44" s="2" t="inlineStr">
        <is>
          <t>https://ipm.ucanr.edu/agriculture/apple/apple-scab/</t>
        </is>
      </c>
    </row>
    <row r="45">
      <c r="A45" s="2" t="inlineStr">
        <is>
          <t>FIRE_BLIGHT</t>
        </is>
      </c>
      <c r="B45" s="2" t="inlineStr">
        <is>
          <t>Maryblyt / EIP thresholds</t>
        </is>
      </c>
      <c r="C45" s="2" t="n"/>
      <c r="D45" s="2" t="n"/>
      <c r="E45" s="2" t="n"/>
      <c r="F45" s="2" t="n"/>
      <c r="G45" s="2" t="n"/>
      <c r="H45" s="2" t="inlineStr">
        <is>
          <t>EIP &lt;60: Low; 60–100: Medium; ≥100: High; ≥200: Extreme (при наличии цветков и увлажнения).</t>
        </is>
      </c>
      <c r="I45" s="2" t="inlineStr">
        <is>
          <t>https://ipm.ucanr.edu/PMG/PESTNOTES/pn7414.html</t>
        </is>
      </c>
    </row>
    <row r="46">
      <c r="A46" s="2" t="inlineStr">
        <is>
          <t>POWDERY_MILDEW</t>
        </is>
      </c>
      <c r="B46" s="2" t="inlineStr">
        <is>
          <t>Rule-of-thumb</t>
        </is>
      </c>
      <c r="C46" s="2" t="n"/>
      <c r="D46" s="2" t="n"/>
      <c r="E46" s="2" t="n"/>
      <c r="F46" s="2" t="n"/>
      <c r="G46" s="2" t="n"/>
      <c r="H46" s="2" t="inlineStr">
        <is>
          <t>Высокий риск при RH&gt;70–80% и T=10–25°C; оптимум ~19–22°C; свободная вода не требуется.</t>
        </is>
      </c>
      <c r="I46" s="2" t="inlineStr">
        <is>
          <t>https://extension.umn.edu/plant-diseases/apple-powdery-mildew</t>
        </is>
      </c>
    </row>
  </sheetData>
  <autoFilter ref="A1:I4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7.9" customWidth="1" min="1" max="1"/>
    <col width="45" customWidth="1" min="2" max="2"/>
    <col width="16.2" customWidth="1" min="3" max="3"/>
    <col width="16.2" customWidth="1" min="4" max="4"/>
    <col width="18.9" customWidth="1" min="5" max="5"/>
    <col width="16.2" customWidth="1" min="6" max="6"/>
    <col width="16.2" customWidth="1" min="7" max="7"/>
    <col width="15.3" customWidth="1" min="8" max="8"/>
    <col width="14.4" customWidth="1" min="9" max="9"/>
    <col width="44.1" customWidth="1" min="10" max="10"/>
    <col width="45" customWidth="1" min="11" max="11"/>
    <col width="10" customWidth="1" min="12" max="12"/>
  </cols>
  <sheetData>
    <row r="1">
      <c r="A1" t="inlineStr">
        <is>
          <t>Ввод</t>
        </is>
      </c>
    </row>
    <row r="2">
      <c r="A2" t="inlineStr">
        <is>
          <t>Планируемая урожайность, т/га</t>
        </is>
      </c>
      <c r="B2" s="3" t="n">
        <v>40</v>
      </c>
    </row>
    <row r="3">
      <c r="A3" t="inlineStr">
        <is>
          <t>Площадь, га</t>
        </is>
      </c>
      <c r="B3" s="3" t="n">
        <v>1</v>
      </c>
    </row>
    <row r="4">
      <c r="A4" t="inlineStr">
        <is>
          <t>Итого урожай, т</t>
        </is>
      </c>
      <c r="B4" s="3">
        <f>B2*B3</f>
        <v/>
      </c>
    </row>
    <row r="5"/>
    <row r="6">
      <c r="A6" s="1" t="inlineStr">
        <is>
          <t>Nutrient</t>
        </is>
      </c>
      <c r="B6" s="1" t="inlineStr">
        <is>
          <t>Unit</t>
        </is>
      </c>
      <c r="C6" s="1" t="inlineStr">
        <is>
          <t>Removal_Min (kg/т)</t>
        </is>
      </c>
      <c r="D6" s="1" t="inlineStr">
        <is>
          <t>Removal_Max (kg/т)</t>
        </is>
      </c>
      <c r="E6" s="1" t="inlineStr">
        <is>
          <t>Removal_Chosen (kg/т)</t>
        </is>
      </c>
      <c r="F6" s="1" t="inlineStr">
        <is>
          <t>Total_Removal (kg)</t>
        </is>
      </c>
      <c r="G6" s="1" t="inlineStr">
        <is>
          <t>Fertilizer_Product</t>
        </is>
      </c>
      <c r="H6" s="1" t="inlineStr">
        <is>
          <t>Product_Content_%</t>
        </is>
      </c>
      <c r="I6" s="1" t="inlineStr">
        <is>
          <t>Use_Efficiency_%</t>
        </is>
      </c>
      <c r="J6" s="1" t="inlineStr">
        <is>
          <t>Required_Product_kg</t>
        </is>
      </c>
      <c r="K6" s="1" t="inlineStr">
        <is>
          <t>Notes</t>
        </is>
      </c>
      <c r="L6" s="1" t="inlineStr">
        <is>
          <t>Source_URL</t>
        </is>
      </c>
    </row>
    <row r="7">
      <c r="A7" s="2" t="inlineStr">
        <is>
          <t>N</t>
        </is>
      </c>
      <c r="B7" s="2" t="inlineStr">
        <is>
          <t>kg/т</t>
        </is>
      </c>
      <c r="C7" s="2" t="n">
        <v>0.45</v>
      </c>
      <c r="D7" s="2" t="n">
        <v>1.05</v>
      </c>
      <c r="E7" s="2" t="n">
        <v>0.6</v>
      </c>
      <c r="F7" s="2">
        <f>B4*E7</f>
        <v/>
      </c>
      <c r="G7" s="2" t="inlineStr">
        <is>
          <t>Аммиачная селитра</t>
        </is>
      </c>
      <c r="H7" s="2" t="n">
        <v>34</v>
      </c>
      <c r="I7" s="2" t="n">
        <v>50</v>
      </c>
      <c r="J7" s="2">
        <f>IF(OR(H7="",I7=""),"",F7/(H7/100)/(I7/100))</f>
        <v/>
      </c>
      <c r="K7" s="2" t="inlineStr"/>
      <c r="L7" s="2" t="inlineStr"/>
    </row>
    <row r="8">
      <c r="A8" s="2" t="inlineStr">
        <is>
          <t>P2O5</t>
        </is>
      </c>
      <c r="B8" s="2" t="inlineStr">
        <is>
          <t>kg/т</t>
        </is>
      </c>
      <c r="C8" s="2" t="n">
        <v>0.1</v>
      </c>
      <c r="D8" s="2" t="n">
        <v>0.2</v>
      </c>
      <c r="E8" s="2" t="n">
        <v>0.2</v>
      </c>
      <c r="F8" s="2">
        <f>B4*E8</f>
        <v/>
      </c>
      <c r="G8" s="2" t="inlineStr">
        <is>
          <t>Суперфосфат</t>
        </is>
      </c>
      <c r="H8" s="2" t="n">
        <v>48</v>
      </c>
      <c r="I8" s="2" t="n">
        <v>30</v>
      </c>
      <c r="J8" s="2">
        <f>IF(OR(H8="",I8=""),"",F8/(H8/100)/(I8/100))</f>
        <v/>
      </c>
      <c r="K8" s="2" t="inlineStr"/>
      <c r="L8" s="2" t="inlineStr"/>
    </row>
    <row r="9">
      <c r="A9" s="2" t="inlineStr">
        <is>
          <t>K2O</t>
        </is>
      </c>
      <c r="B9" s="2" t="inlineStr">
        <is>
          <t>kg/т</t>
        </is>
      </c>
      <c r="C9" s="2" t="n">
        <v>1</v>
      </c>
      <c r="D9" s="2" t="n">
        <v>2</v>
      </c>
      <c r="E9" s="2" t="n">
        <v>1.6</v>
      </c>
      <c r="F9" s="2">
        <f>B4*E9</f>
        <v/>
      </c>
      <c r="G9" s="2" t="inlineStr">
        <is>
          <t>Сульфат калия</t>
        </is>
      </c>
      <c r="H9" s="2" t="n">
        <v>50</v>
      </c>
      <c r="I9" s="2" t="n">
        <v>70</v>
      </c>
      <c r="J9" s="2">
        <f>IF(OR(H9="",I9=""),"",F9/(H9/100)/(I9/100))</f>
        <v/>
      </c>
      <c r="K9" s="2" t="inlineStr"/>
      <c r="L9" s="2" t="inlineStr"/>
    </row>
    <row r="10">
      <c r="A10" s="2" t="inlineStr">
        <is>
          <t>Ca</t>
        </is>
      </c>
      <c r="B10" s="2" t="inlineStr">
        <is>
          <t>kg/т</t>
        </is>
      </c>
      <c r="C10" s="2" t="n">
        <v>0.05</v>
      </c>
      <c r="D10" s="2" t="n">
        <v>0.15</v>
      </c>
      <c r="E10" s="2" t="n">
        <v>0.08</v>
      </c>
      <c r="F10" s="2">
        <f>B4*E10</f>
        <v/>
      </c>
      <c r="G10" s="2" t="inlineStr">
        <is>
          <t>Кальциевая селитра</t>
        </is>
      </c>
      <c r="H10" s="2" t="n">
        <v>19</v>
      </c>
      <c r="I10" s="2" t="n">
        <v>50</v>
      </c>
      <c r="J10" s="2">
        <f>IF(OR(H10="",I10=""),"",F10/(H10/100)/(I10/100))</f>
        <v/>
      </c>
      <c r="K10" s="2" t="inlineStr">
        <is>
          <t>Для качества плодов важнее внекорневые Ca-обработки</t>
        </is>
      </c>
      <c r="L10" s="2" t="inlineStr"/>
    </row>
    <row r="11">
      <c r="A11" s="2" t="inlineStr">
        <is>
          <t>Mg</t>
        </is>
      </c>
      <c r="B11" s="2" t="inlineStr">
        <is>
          <t>kg/т</t>
        </is>
      </c>
      <c r="C11" s="2" t="n">
        <v>0.05</v>
      </c>
      <c r="D11" s="2" t="n">
        <v>0.1</v>
      </c>
      <c r="E11" s="2" t="n">
        <v>0.08</v>
      </c>
      <c r="F11" s="2">
        <f>B4*E11</f>
        <v/>
      </c>
      <c r="G11" s="2" t="inlineStr">
        <is>
          <t>Сульфат магния</t>
        </is>
      </c>
      <c r="H11" s="2" t="n">
        <v>16</v>
      </c>
      <c r="I11" s="2" t="n">
        <v>60</v>
      </c>
      <c r="J11" s="2">
        <f>IF(OR(H11="",I11=""),"",F11/(H11/100)/(I11/100))</f>
        <v/>
      </c>
      <c r="K11" s="2" t="inlineStr"/>
      <c r="L11" s="2" t="inlineStr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</row>
    <row r="13">
      <c r="A13" s="2" t="inlineStr">
        <is>
          <t>Внекорневой кальций (программа)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</row>
    <row r="14">
      <c r="A14" s="2" t="inlineStr">
        <is>
          <t>Кол-во обработок</t>
        </is>
      </c>
      <c r="B14" s="4" t="n">
        <v>6</v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</row>
    <row r="15">
      <c r="A15" s="2" t="inlineStr">
        <is>
          <t>Доза CaCl2, кг/га за обработку</t>
        </is>
      </c>
      <c r="B15" s="4" t="n">
        <v>3</v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</row>
    <row r="16">
      <c r="A16" s="2" t="inlineStr">
        <is>
          <t>Итого CaCl2, кг/га</t>
        </is>
      </c>
      <c r="B16" s="4">
        <f>B14*B15</f>
        <v/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</row>
    <row r="17">
      <c r="A17" s="2" t="inlineStr">
        <is>
          <t>Комментарий</t>
        </is>
      </c>
      <c r="B17" s="2" t="inlineStr">
        <is>
          <t>Начинать после цветения, повторять каждые 10–14 дней до 2–3 недель до съёма (актуально для Галы из‑за риска bitter pit).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</row>
    <row r="18">
      <c r="A18" s="2" t="inlineStr">
        <is>
          <t>Источник</t>
        </is>
      </c>
      <c r="B18" s="2" t="inlineStr">
        <is>
          <t>https://treefruit.wsu.edu/article/rootstock-and-nutrient-imbalance-leads-to-green-spot-development-in-wa-38-apples/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.4" customWidth="1" min="1" max="1"/>
    <col width="26.1" customWidth="1" min="2" max="2"/>
    <col width="22.5" customWidth="1" min="3" max="3"/>
    <col width="13.5" customWidth="1" min="4" max="4"/>
    <col width="13.5" customWidth="1" min="5" max="5"/>
    <col width="10" customWidth="1" min="6" max="6"/>
    <col width="10" customWidth="1" min="7" max="7"/>
    <col width="10" customWidth="1" min="8" max="8"/>
    <col width="16.2" customWidth="1" min="9" max="9"/>
    <col width="10" customWidth="1" min="10" max="10"/>
    <col width="10" customWidth="1" min="11" max="11"/>
    <col width="10" customWidth="1" min="12" max="12"/>
    <col width="13.5" customWidth="1" min="13" max="13"/>
    <col width="45" customWidth="1" min="14" max="14"/>
    <col width="45" customWidth="1" min="15" max="15"/>
  </cols>
  <sheetData>
    <row r="1">
      <c r="A1" s="1" t="inlineStr">
        <is>
          <t>Trade_Name</t>
        </is>
      </c>
      <c r="B1" s="1" t="inlineStr">
        <is>
          <t>Active_Ingredient</t>
        </is>
      </c>
      <c r="C1" s="1" t="inlineStr">
        <is>
          <t>Target_Pest_Codes</t>
        </is>
      </c>
      <c r="D1" s="1" t="inlineStr">
        <is>
          <t>Dosage_Min_L_ha</t>
        </is>
      </c>
      <c r="E1" s="1" t="inlineStr">
        <is>
          <t>Dosage_Max_L_ha</t>
        </is>
      </c>
      <c r="F1" s="1" t="inlineStr">
        <is>
          <t>Dosage_Unit</t>
        </is>
      </c>
      <c r="G1" s="1" t="inlineStr">
        <is>
          <t>Min_Temp_C</t>
        </is>
      </c>
      <c r="H1" s="1" t="inlineStr">
        <is>
          <t>Max_Temp_C</t>
        </is>
      </c>
      <c r="I1" s="1" t="inlineStr">
        <is>
          <t>Rainfastness_Hours</t>
        </is>
      </c>
      <c r="J1" s="1" t="inlineStr">
        <is>
          <t>Action_Type</t>
        </is>
      </c>
      <c r="K1" s="1" t="inlineStr">
        <is>
          <t>PHI_Days</t>
        </is>
      </c>
      <c r="L1" s="1" t="inlineStr">
        <is>
          <t>FRAC_IRAC</t>
        </is>
      </c>
      <c r="M1" s="1" t="inlineStr">
        <is>
          <t>Chem_Group_Code</t>
        </is>
      </c>
      <c r="N1" s="1" t="inlineStr">
        <is>
          <t>Notes</t>
        </is>
      </c>
      <c r="O1" s="1" t="inlineStr">
        <is>
          <t>Source_URL</t>
        </is>
      </c>
    </row>
    <row r="2">
      <c r="A2" s="2" t="inlineStr">
        <is>
          <t>Скор 250 EC</t>
        </is>
      </c>
      <c r="B2" s="2" t="inlineStr">
        <is>
          <t>дifenoconazole 250 g/L</t>
        </is>
      </c>
      <c r="C2" s="2" t="inlineStr">
        <is>
          <t>APPLE_SCAB,POWDERY_MILDEW</t>
        </is>
      </c>
      <c r="D2" s="2" t="n">
        <v>0.2</v>
      </c>
      <c r="E2" s="2" t="n">
        <v>0.3</v>
      </c>
      <c r="F2" s="2" t="inlineStr">
        <is>
          <t>L/ha</t>
        </is>
      </c>
      <c r="G2" s="2" t="n">
        <v>12</v>
      </c>
      <c r="H2" s="2" t="n">
        <v>25</v>
      </c>
      <c r="I2" s="2" t="n">
        <v>2</v>
      </c>
      <c r="J2" s="2" t="inlineStr">
        <is>
          <t>Preventive</t>
        </is>
      </c>
      <c r="K2" s="2" t="n">
        <v>30</v>
      </c>
      <c r="L2" s="2" t="inlineStr">
        <is>
          <t>FRAC 3</t>
        </is>
      </c>
      <c r="M2" s="2" t="inlineStr">
        <is>
          <t>DMI</t>
        </is>
      </c>
      <c r="N2" s="2" t="inlineStr">
        <is>
          <t>Не более 3–4 применений/сезон (резистентность).</t>
        </is>
      </c>
      <c r="O2" s="2" t="inlineStr">
        <is>
          <t>(см. PDF источники/регламент)</t>
        </is>
      </c>
    </row>
    <row r="3">
      <c r="A3" s="2" t="inlineStr">
        <is>
          <t>Хорус 75 WG</t>
        </is>
      </c>
      <c r="B3" s="2" t="inlineStr">
        <is>
          <t>cyprodinil 750 g/kg</t>
        </is>
      </c>
      <c r="C3" s="2" t="inlineStr">
        <is>
          <t>APPLE_SCAB</t>
        </is>
      </c>
      <c r="D3" s="2" t="n">
        <v>0.3</v>
      </c>
      <c r="E3" s="2" t="n">
        <v>0.45</v>
      </c>
      <c r="F3" s="2" t="inlineStr">
        <is>
          <t>kg/ha</t>
        </is>
      </c>
      <c r="G3" s="2" t="n">
        <v>5</v>
      </c>
      <c r="H3" s="2" t="n">
        <v>15</v>
      </c>
      <c r="I3" s="2" t="n">
        <v>2</v>
      </c>
      <c r="J3" s="2" t="inlineStr">
        <is>
          <t>Preventive</t>
        </is>
      </c>
      <c r="K3" s="2" t="n">
        <v>14</v>
      </c>
      <c r="L3" s="2" t="inlineStr">
        <is>
          <t>FRAC 9</t>
        </is>
      </c>
      <c r="M3" s="2" t="inlineStr"/>
      <c r="N3" s="2" t="inlineStr">
        <is>
          <t>Лучше в прохладную весну (первичные инфекции).</t>
        </is>
      </c>
      <c r="O3" s="2" t="inlineStr">
        <is>
          <t>(см. PDF источники/регламент)</t>
        </is>
      </c>
    </row>
    <row r="4">
      <c r="A4" s="2" t="inlineStr">
        <is>
          <t>Строби 50 WG</t>
        </is>
      </c>
      <c r="B4" s="2" t="inlineStr">
        <is>
          <t>kresoxim-methyl 500 g/kg</t>
        </is>
      </c>
      <c r="C4" s="2" t="inlineStr">
        <is>
          <t>APPLE_SCAB,POWDERY_MILDEW</t>
        </is>
      </c>
      <c r="D4" s="2" t="n">
        <v>0.2</v>
      </c>
      <c r="E4" s="2" t="n">
        <v>0.2</v>
      </c>
      <c r="F4" s="2" t="inlineStr">
        <is>
          <t>kg/ha</t>
        </is>
      </c>
      <c r="G4" s="2" t="n">
        <v>10</v>
      </c>
      <c r="H4" s="2" t="n">
        <v>25</v>
      </c>
      <c r="I4" s="2" t="n">
        <v>2</v>
      </c>
      <c r="J4" s="2" t="inlineStr">
        <is>
          <t>Preventive</t>
        </is>
      </c>
      <c r="K4" s="2" t="n">
        <v>35</v>
      </c>
      <c r="L4" s="2" t="inlineStr">
        <is>
          <t>FRAC 11</t>
        </is>
      </c>
      <c r="M4" s="2" t="inlineStr">
        <is>
          <t>QoI</t>
        </is>
      </c>
      <c r="N4" s="2" t="inlineStr">
        <is>
          <t>Чередовать по FRAC.</t>
        </is>
      </c>
      <c r="O4" s="2" t="inlineStr">
        <is>
          <t>(см. PDF источники/регламент)</t>
        </is>
      </c>
    </row>
    <row r="5">
      <c r="A5" s="2" t="inlineStr">
        <is>
          <t>Полiram DF</t>
        </is>
      </c>
      <c r="B5" s="2" t="inlineStr">
        <is>
          <t>metiram 700 g/kg</t>
        </is>
      </c>
      <c r="C5" s="2" t="inlineStr">
        <is>
          <t>APPLE_SCAB</t>
        </is>
      </c>
      <c r="D5" s="2" t="n">
        <v>2</v>
      </c>
      <c r="E5" s="2" t="n">
        <v>2.5</v>
      </c>
      <c r="F5" s="2" t="inlineStr">
        <is>
          <t>kg/ha</t>
        </is>
      </c>
      <c r="G5" s="2" t="n">
        <v>10</v>
      </c>
      <c r="H5" s="2" t="n">
        <v>25</v>
      </c>
      <c r="I5" s="2" t="n">
        <v>4</v>
      </c>
      <c r="J5" s="2" t="inlineStr">
        <is>
          <t>Preventive</t>
        </is>
      </c>
      <c r="K5" s="2" t="n">
        <v>30</v>
      </c>
      <c r="L5" s="2" t="inlineStr">
        <is>
          <t>FRAC M03</t>
        </is>
      </c>
      <c r="M5" s="2" t="inlineStr"/>
      <c r="N5" s="2" t="inlineStr">
        <is>
          <t>Контактный, хороший для программы антирезистентности.</t>
        </is>
      </c>
      <c r="O5" s="2" t="inlineStr">
        <is>
          <t>(см. PDF источники/регламент)</t>
        </is>
      </c>
    </row>
    <row r="6">
      <c r="A6" s="2" t="inlineStr">
        <is>
          <t>Тиовит Джет</t>
        </is>
      </c>
      <c r="B6" s="2" t="inlineStr">
        <is>
          <t>sulfur 800 g/kg</t>
        </is>
      </c>
      <c r="C6" s="2" t="inlineStr">
        <is>
          <t>POWDERY_MILDEW</t>
        </is>
      </c>
      <c r="D6" s="2" t="n">
        <v>6</v>
      </c>
      <c r="E6" s="2" t="n">
        <v>8</v>
      </c>
      <c r="F6" s="2" t="inlineStr">
        <is>
          <t>kg/ha</t>
        </is>
      </c>
      <c r="G6" s="2" t="n">
        <v>10</v>
      </c>
      <c r="H6" s="2" t="n">
        <v>28</v>
      </c>
      <c r="I6" s="2" t="n">
        <v>0.5</v>
      </c>
      <c r="J6" s="2" t="inlineStr">
        <is>
          <t>Preventive</t>
        </is>
      </c>
      <c r="K6" s="2" t="n">
        <v>5</v>
      </c>
      <c r="L6" s="2" t="inlineStr">
        <is>
          <t>FRAC M02</t>
        </is>
      </c>
      <c r="M6" s="2" t="inlineStr">
        <is>
          <t>SULFUR</t>
        </is>
      </c>
      <c r="N6" s="2" t="inlineStr">
        <is>
          <t>Не применять при жаре &gt;28–30°C.</t>
        </is>
      </c>
      <c r="O6" s="2" t="inlineStr">
        <is>
          <t>(см. PDF источники/регламент)</t>
        </is>
      </c>
    </row>
    <row r="7">
      <c r="A7" s="2" t="inlineStr">
        <is>
          <t>Каптан 80 WDG</t>
        </is>
      </c>
      <c r="B7" s="2" t="inlineStr">
        <is>
          <t>captan 800 g/kg</t>
        </is>
      </c>
      <c r="C7" s="2" t="inlineStr">
        <is>
          <t>APPLE_SCAB</t>
        </is>
      </c>
      <c r="D7" s="2" t="n">
        <v>2</v>
      </c>
      <c r="E7" s="2" t="n">
        <v>2.5</v>
      </c>
      <c r="F7" s="2" t="inlineStr">
        <is>
          <t>kg/ha</t>
        </is>
      </c>
      <c r="G7" s="2" t="n">
        <v>10</v>
      </c>
      <c r="H7" s="2" t="n">
        <v>25</v>
      </c>
      <c r="I7" s="2" t="n">
        <v>4</v>
      </c>
      <c r="J7" s="2" t="inlineStr">
        <is>
          <t>Preventive</t>
        </is>
      </c>
      <c r="K7" s="2" t="n">
        <v>7</v>
      </c>
      <c r="L7" s="2" t="inlineStr">
        <is>
          <t>FRAC M04</t>
        </is>
      </c>
      <c r="M7" s="2" t="inlineStr">
        <is>
          <t>CAPTAN</t>
        </is>
      </c>
      <c r="N7" s="2" t="inlineStr">
        <is>
          <t>Не смешивать с маслами; аккуратно с ПАВ.</t>
        </is>
      </c>
      <c r="O7" s="2" t="inlineStr">
        <is>
          <t>https://www3.epa.gov/pesticides/chem_search/ppls/068612-00018-20181221.pdf</t>
        </is>
      </c>
    </row>
    <row r="8">
      <c r="A8" s="2" t="inlineStr">
        <is>
          <t>Бордосская смесь</t>
        </is>
      </c>
      <c r="B8" s="2" t="inlineStr">
        <is>
          <t>copper sulfate + lime</t>
        </is>
      </c>
      <c r="C8" s="2" t="inlineStr">
        <is>
          <t>APPLE_SCAB,FIRE_BLIGHT</t>
        </is>
      </c>
      <c r="D8" s="2" t="n">
        <v>1.5</v>
      </c>
      <c r="E8" s="2" t="n">
        <v>3</v>
      </c>
      <c r="F8" s="2" t="inlineStr">
        <is>
          <t>kg/ha</t>
        </is>
      </c>
      <c r="G8" s="2" t="n">
        <v>5</v>
      </c>
      <c r="H8" s="2" t="n">
        <v>25</v>
      </c>
      <c r="I8" s="2" t="n">
        <v>4</v>
      </c>
      <c r="J8" s="2" t="inlineStr">
        <is>
          <t>Preventive</t>
        </is>
      </c>
      <c r="K8" s="2" t="n">
        <v>20</v>
      </c>
      <c r="L8" s="2" t="inlineStr">
        <is>
          <t>FRAC M01</t>
        </is>
      </c>
      <c r="M8" s="2" t="inlineStr">
        <is>
          <t>COPPER</t>
        </is>
      </c>
      <c r="N8" s="2" t="inlineStr">
        <is>
          <t>Риск ожога на молодой листве; дозу снижать по фазам.</t>
        </is>
      </c>
      <c r="O8" s="2" t="inlineStr">
        <is>
          <t>(см. PDF источники/регламент)</t>
        </is>
      </c>
    </row>
    <row r="9">
      <c r="A9" s="2" t="inlineStr">
        <is>
          <t>Алиетт</t>
        </is>
      </c>
      <c r="B9" s="2" t="inlineStr">
        <is>
          <t>fosetyl-Al</t>
        </is>
      </c>
      <c r="C9" s="2" t="inlineStr">
        <is>
          <t>FIRE_BLIGHT</t>
        </is>
      </c>
      <c r="D9" s="2" t="n">
        <v>2</v>
      </c>
      <c r="E9" s="2" t="n">
        <v>2.5</v>
      </c>
      <c r="F9" s="2" t="inlineStr">
        <is>
          <t>kg/ha</t>
        </is>
      </c>
      <c r="G9" s="2" t="n">
        <v>10</v>
      </c>
      <c r="H9" s="2" t="n">
        <v>25</v>
      </c>
      <c r="I9" s="2" t="n">
        <v>2</v>
      </c>
      <c r="J9" s="2" t="inlineStr">
        <is>
          <t>Preventive</t>
        </is>
      </c>
      <c r="K9" s="2" t="n">
        <v>30</v>
      </c>
      <c r="L9" s="2" t="inlineStr">
        <is>
          <t>FRAC 33</t>
        </is>
      </c>
      <c r="M9" s="2" t="inlineStr">
        <is>
          <t>PHOSPHITE</t>
        </is>
      </c>
      <c r="N9" s="2" t="inlineStr">
        <is>
          <t>Системное фосфорорганическое; совместимость проверять.</t>
        </is>
      </c>
      <c r="O9" s="2" t="inlineStr">
        <is>
          <t>(см. PDF источники/регламент)</t>
        </is>
      </c>
    </row>
    <row r="10">
      <c r="A10" s="2" t="inlineStr">
        <is>
          <t>Кореген</t>
        </is>
      </c>
      <c r="B10" s="2" t="inlineStr">
        <is>
          <t>chlorantraniliprole</t>
        </is>
      </c>
      <c r="C10" s="2" t="inlineStr">
        <is>
          <t>CODLING_MOTH,LEAFROLLER</t>
        </is>
      </c>
      <c r="D10" s="2" t="n">
        <v>0.15</v>
      </c>
      <c r="E10" s="2" t="n">
        <v>0.175</v>
      </c>
      <c r="F10" s="2" t="inlineStr">
        <is>
          <t>L/ha</t>
        </is>
      </c>
      <c r="G10" s="2" t="n">
        <v>10</v>
      </c>
      <c r="H10" s="2" t="n">
        <v>30</v>
      </c>
      <c r="I10" s="2" t="n">
        <v>2</v>
      </c>
      <c r="J10" s="2" t="inlineStr">
        <is>
          <t>Preventive</t>
        </is>
      </c>
      <c r="K10" s="2" t="n">
        <v>14</v>
      </c>
      <c r="L10" s="2" t="inlineStr">
        <is>
          <t>IRAC 28</t>
        </is>
      </c>
      <c r="M10" s="2" t="inlineStr"/>
      <c r="N10" s="2" t="inlineStr">
        <is>
          <t>Ориентир по времени: 100–150 GDD после биофикса/порог ловушек.</t>
        </is>
      </c>
      <c r="O10" s="2" t="inlineStr">
        <is>
          <t>https://www.corteva.us/content/dam/dpagco/corteva/us/en/products/files/label-coragen-1-67sc.pdf</t>
        </is>
      </c>
    </row>
    <row r="11">
      <c r="A11" s="2" t="inlineStr">
        <is>
          <t>Матч</t>
        </is>
      </c>
      <c r="B11" s="2" t="inlineStr">
        <is>
          <t>lufenuron</t>
        </is>
      </c>
      <c r="C11" s="2" t="inlineStr">
        <is>
          <t>CODLING_MOTH,LEAFROLLER</t>
        </is>
      </c>
      <c r="D11" s="2" t="n">
        <v>0.4</v>
      </c>
      <c r="E11" s="2" t="n">
        <v>0.6</v>
      </c>
      <c r="F11" s="2" t="inlineStr">
        <is>
          <t>L/ha</t>
        </is>
      </c>
      <c r="G11" s="2" t="n">
        <v>12</v>
      </c>
      <c r="H11" s="2" t="n">
        <v>28</v>
      </c>
      <c r="I11" s="2" t="n">
        <v>2</v>
      </c>
      <c r="J11" s="2" t="inlineStr">
        <is>
          <t>Preventive</t>
        </is>
      </c>
      <c r="K11" s="2" t="n">
        <v>28</v>
      </c>
      <c r="L11" s="2" t="inlineStr">
        <is>
          <t>IRAC 15</t>
        </is>
      </c>
      <c r="M11" s="2" t="inlineStr"/>
      <c r="N11" s="2" t="inlineStr">
        <is>
          <t>Лучше по яйцу/ранней личинке.</t>
        </is>
      </c>
      <c r="O11" s="2" t="inlineStr">
        <is>
          <t>(см. PDF источники/регламент)</t>
        </is>
      </c>
    </row>
    <row r="12">
      <c r="A12" s="2" t="inlineStr">
        <is>
          <t>Фастак 100 EC</t>
        </is>
      </c>
      <c r="B12" s="2" t="inlineStr">
        <is>
          <t>alpha-cypermethrin 100 g/L</t>
        </is>
      </c>
      <c r="C12" s="2" t="inlineStr">
        <is>
          <t>CODLING_MOTH,LEAFROLLER</t>
        </is>
      </c>
      <c r="D12" s="2" t="n">
        <v>0.2</v>
      </c>
      <c r="E12" s="2" t="n">
        <v>0.2</v>
      </c>
      <c r="F12" s="2" t="inlineStr">
        <is>
          <t>L/ha</t>
        </is>
      </c>
      <c r="G12" s="2" t="n">
        <v>10</v>
      </c>
      <c r="H12" s="2" t="n">
        <v>23</v>
      </c>
      <c r="I12" s="2" t="n">
        <v>1</v>
      </c>
      <c r="J12" s="2" t="inlineStr">
        <is>
          <t>Curative</t>
        </is>
      </c>
      <c r="K12" s="2" t="n">
        <v>20</v>
      </c>
      <c r="L12" s="2" t="inlineStr">
        <is>
          <t>IRAC 3A</t>
        </is>
      </c>
      <c r="M12" s="2" t="inlineStr"/>
      <c r="N12" s="2" t="inlineStr">
        <is>
          <t>Токсичен для пчёл — строго вне цветения.</t>
        </is>
      </c>
      <c r="O12" s="2" t="inlineStr">
        <is>
          <t>(см. PDF источники/регламент)</t>
        </is>
      </c>
    </row>
    <row r="13">
      <c r="A13" s="2" t="inlineStr">
        <is>
          <t>Моспилан</t>
        </is>
      </c>
      <c r="B13" s="2" t="inlineStr">
        <is>
          <t>acetamiprid</t>
        </is>
      </c>
      <c r="C13" s="2" t="inlineStr">
        <is>
          <t>APHID,CODLING_MOTH</t>
        </is>
      </c>
      <c r="D13" s="2" t="n">
        <v>0.2</v>
      </c>
      <c r="E13" s="2" t="n">
        <v>0.25</v>
      </c>
      <c r="F13" s="2" t="inlineStr">
        <is>
          <t>kg/ha</t>
        </is>
      </c>
      <c r="G13" s="2" t="n">
        <v>10</v>
      </c>
      <c r="H13" s="2" t="n">
        <v>25</v>
      </c>
      <c r="I13" s="2" t="n">
        <v>2</v>
      </c>
      <c r="J13" s="2" t="inlineStr">
        <is>
          <t>Curative</t>
        </is>
      </c>
      <c r="K13" s="2" t="n">
        <v>14</v>
      </c>
      <c r="L13" s="2" t="inlineStr">
        <is>
          <t>IRAC 4A</t>
        </is>
      </c>
      <c r="M13" s="2" t="inlineStr"/>
      <c r="N13" s="2" t="inlineStr">
        <is>
          <t>После цветения; контроль через 5–7 дней.</t>
        </is>
      </c>
      <c r="O13" s="2" t="inlineStr">
        <is>
          <t>(см. PDF источники/регламент)</t>
        </is>
      </c>
    </row>
    <row r="14">
      <c r="A14" s="2" t="inlineStr">
        <is>
          <t>Вертимек 018 EC</t>
        </is>
      </c>
      <c r="B14" s="2" t="inlineStr">
        <is>
          <t>abamectin 18 g/L</t>
        </is>
      </c>
      <c r="C14" s="2" t="inlineStr">
        <is>
          <t>MITE,LEAFMINER</t>
        </is>
      </c>
      <c r="D14" s="2" t="n">
        <v>0.75</v>
      </c>
      <c r="E14" s="2" t="n">
        <v>1</v>
      </c>
      <c r="F14" s="2" t="inlineStr">
        <is>
          <t>L/ha</t>
        </is>
      </c>
      <c r="G14" s="2" t="n">
        <v>15</v>
      </c>
      <c r="H14" s="2" t="n">
        <v>30</v>
      </c>
      <c r="I14" s="2" t="n">
        <v>2</v>
      </c>
      <c r="J14" s="2" t="inlineStr">
        <is>
          <t>Curative</t>
        </is>
      </c>
      <c r="K14" s="2" t="n">
        <v>28</v>
      </c>
      <c r="L14" s="2" t="inlineStr">
        <is>
          <t>IRAC 6</t>
        </is>
      </c>
      <c r="M14" s="2" t="inlineStr"/>
      <c r="N14" s="2" t="inlineStr">
        <is>
          <t>Оптимум +20…+25°C, трансламинарное действие.</t>
        </is>
      </c>
      <c r="O14" s="2" t="inlineStr">
        <is>
          <t>(см. PDF источники/регламент)</t>
        </is>
      </c>
    </row>
    <row r="15">
      <c r="A15" s="2" t="inlineStr">
        <is>
          <t>Энвидор</t>
        </is>
      </c>
      <c r="B15" s="2" t="inlineStr">
        <is>
          <t>spirodiclofen</t>
        </is>
      </c>
      <c r="C15" s="2" t="inlineStr">
        <is>
          <t>MITE</t>
        </is>
      </c>
      <c r="D15" s="2" t="n">
        <v>0.4</v>
      </c>
      <c r="E15" s="2" t="n">
        <v>0.6</v>
      </c>
      <c r="F15" s="2" t="inlineStr">
        <is>
          <t>L/ha</t>
        </is>
      </c>
      <c r="G15" s="2" t="n">
        <v>15</v>
      </c>
      <c r="H15" s="2" t="n">
        <v>28</v>
      </c>
      <c r="I15" s="2" t="n">
        <v>2</v>
      </c>
      <c r="J15" s="2" t="inlineStr">
        <is>
          <t>Preventive</t>
        </is>
      </c>
      <c r="K15" s="2" t="n">
        <v>14</v>
      </c>
      <c r="L15" s="2" t="inlineStr">
        <is>
          <t>IRAC 23</t>
        </is>
      </c>
      <c r="M15" s="2" t="inlineStr"/>
      <c r="N15" s="2" t="inlineStr">
        <is>
          <t>Долгоиграющий акарицид, лучше по ранним стадиям.</t>
        </is>
      </c>
      <c r="O15" s="2" t="inlineStr">
        <is>
          <t>(см. PDF источники/регламент)</t>
        </is>
      </c>
    </row>
    <row r="16">
      <c r="A16" s="2" t="inlineStr">
        <is>
          <t>Стрекар</t>
        </is>
      </c>
      <c r="B16" s="2" t="inlineStr">
        <is>
          <t>streptomycin sulfate 170 g/kg</t>
        </is>
      </c>
      <c r="C16" s="2" t="inlineStr">
        <is>
          <t>FIRE_BLIGHT</t>
        </is>
      </c>
      <c r="D16" s="2" t="n">
        <v>0.3</v>
      </c>
      <c r="E16" s="2" t="n">
        <v>0.3</v>
      </c>
      <c r="F16" s="2" t="inlineStr">
        <is>
          <t>kg/ha</t>
        </is>
      </c>
      <c r="G16" s="2" t="n">
        <v>12</v>
      </c>
      <c r="H16" s="2" t="n">
        <v>25</v>
      </c>
      <c r="I16" s="2" t="n">
        <v>0.5</v>
      </c>
      <c r="J16" s="2" t="inlineStr">
        <is>
          <t>Curative</t>
        </is>
      </c>
      <c r="K16" s="2" t="n">
        <v>50</v>
      </c>
      <c r="L16" s="2" t="inlineStr"/>
      <c r="M16" s="2" t="inlineStr"/>
      <c r="N16" s="2" t="inlineStr">
        <is>
          <t>Только при высоком риске в цветение; избегать лишних применений.</t>
        </is>
      </c>
      <c r="O16" s="2" t="inlineStr">
        <is>
          <t>(см. PDF источники/регламент)</t>
        </is>
      </c>
    </row>
  </sheetData>
  <autoFilter ref="A1:O16"/>
  <dataValidations count="1">
    <dataValidation sqref="J2:J16" showDropDown="0" showInputMessage="0" showErrorMessage="0" allowBlank="1" type="list">
      <formula1>"Preventive,Curative,Eradicant"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.7" customWidth="1" min="1" max="1"/>
    <col width="10" customWidth="1" min="2" max="2"/>
    <col width="10" customWidth="1" min="3" max="3"/>
    <col width="45" customWidth="1" min="4" max="4"/>
    <col width="45" customWidth="1" min="5" max="5"/>
  </cols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Description</t>
        </is>
      </c>
      <c r="E1" s="1" t="inlineStr">
        <is>
          <t>Source_URL</t>
        </is>
      </c>
    </row>
    <row r="2">
      <c r="A2" s="2" t="inlineStr">
        <is>
          <t>Wind_Max_Speed</t>
        </is>
      </c>
      <c r="B2" s="2" t="n">
        <v>5</v>
      </c>
      <c r="C2" s="2" t="inlineStr">
        <is>
          <t>m/s</t>
        </is>
      </c>
      <c r="D2" s="2" t="inlineStr">
        <is>
          <t>Макс. скорость ветра для опрыскивания (дрейф).</t>
        </is>
      </c>
      <c r="E2" s="2" t="inlineStr">
        <is>
          <t>https://www.pesticidesafetyeducation.com.au/factsheets/weather-conditions/</t>
        </is>
      </c>
    </row>
    <row r="3">
      <c r="A3" s="2" t="inlineStr">
        <is>
          <t>Min_Temp_Spray</t>
        </is>
      </c>
      <c r="B3" s="2" t="n">
        <v>10</v>
      </c>
      <c r="C3" s="2" t="inlineStr">
        <is>
          <t>°C</t>
        </is>
      </c>
      <c r="D3" s="2" t="inlineStr">
        <is>
          <t>Нижний порог температуры для большинства обработок (эффективность/фитотокс).</t>
        </is>
      </c>
      <c r="E3" s="2" t="inlineStr"/>
    </row>
    <row r="4">
      <c r="A4" s="2" t="inlineStr">
        <is>
          <t>Max_Temp_Spray</t>
        </is>
      </c>
      <c r="B4" s="2" t="n">
        <v>25</v>
      </c>
      <c r="C4" s="2" t="inlineStr">
        <is>
          <t>°C</t>
        </is>
      </c>
      <c r="D4" s="2" t="inlineStr">
        <is>
          <t>Верхний порог для большинства обработок (ожог/испарение).</t>
        </is>
      </c>
      <c r="E4" s="2" t="inlineStr"/>
    </row>
    <row r="5">
      <c r="A5" s="2" t="inlineStr">
        <is>
          <t>RH_Max</t>
        </is>
      </c>
      <c r="B5" s="2" t="n">
        <v>85</v>
      </c>
      <c r="C5" s="2" t="inlineStr">
        <is>
          <t>%</t>
        </is>
      </c>
      <c r="D5" s="2" t="inlineStr">
        <is>
          <t>При высокой влажности и росе повышается риск стёка/смыва, хуже покрытие.</t>
        </is>
      </c>
      <c r="E5" s="2" t="inlineStr"/>
    </row>
    <row r="6">
      <c r="A6" s="2" t="inlineStr">
        <is>
          <t>Rain_Forecast_Min_Hours</t>
        </is>
      </c>
      <c r="B6" s="2" t="n">
        <v>2</v>
      </c>
      <c r="C6" s="2" t="inlineStr">
        <is>
          <t>h</t>
        </is>
      </c>
      <c r="D6" s="2" t="inlineStr">
        <is>
          <t>Если дождь раньше — переносить (кроме явно дождестойких).</t>
        </is>
      </c>
      <c r="E6" s="2" t="inlineStr"/>
    </row>
    <row r="7">
      <c r="A7" s="2" t="inlineStr">
        <is>
          <t>DeltaT_Min</t>
        </is>
      </c>
      <c r="B7" s="2" t="n">
        <v>2</v>
      </c>
      <c r="C7" s="2" t="inlineStr">
        <is>
          <t>°C</t>
        </is>
      </c>
      <c r="D7" s="2" t="inlineStr">
        <is>
          <t>ΔT (сух./влаж. термометр) минимум для хорошего распыла.</t>
        </is>
      </c>
      <c r="E7" s="2" t="inlineStr">
        <is>
          <t>https://www.grdc.com.au/resources-and-publications/grdc-update-papers/tab-content/grdc-update-papers/2013/07/delta-t-as-an-indicator-of-spraying-conditions</t>
        </is>
      </c>
    </row>
    <row r="8">
      <c r="A8" s="2" t="inlineStr">
        <is>
          <t>DeltaT_Max</t>
        </is>
      </c>
      <c r="B8" s="2" t="n">
        <v>8</v>
      </c>
      <c r="C8" s="2" t="inlineStr">
        <is>
          <t>°C</t>
        </is>
      </c>
      <c r="D8" s="2" t="inlineStr">
        <is>
          <t>ΔT максимум (риск испарения/дрейфа).</t>
        </is>
      </c>
      <c r="E8" s="2" t="inlineStr">
        <is>
          <t>https://www.grdc.com.au/resources-and-publications/grdc-update-papers/tab-content/grdc-update-papers/2013/07/delta-t-as-an-indicator-of-spraying-conditions</t>
        </is>
      </c>
    </row>
    <row r="9">
      <c r="A9" s="2" t="inlineStr">
        <is>
          <t>Spray_Start_Time</t>
        </is>
      </c>
      <c r="B9" s="2" t="inlineStr">
        <is>
          <t>05:00</t>
        </is>
      </c>
      <c r="C9" s="2" t="inlineStr">
        <is>
          <t>local</t>
        </is>
      </c>
      <c r="D9" s="2" t="inlineStr">
        <is>
          <t>Рекомендуемое утреннее окно.</t>
        </is>
      </c>
      <c r="E9" s="2" t="inlineStr"/>
    </row>
    <row r="10">
      <c r="A10" s="2" t="inlineStr">
        <is>
          <t>Spray_End_Time</t>
        </is>
      </c>
      <c r="B10" s="2" t="inlineStr">
        <is>
          <t>10:00</t>
        </is>
      </c>
      <c r="C10" s="2" t="inlineStr">
        <is>
          <t>local</t>
        </is>
      </c>
      <c r="D10" s="2" t="inlineStr">
        <is>
          <t>Окончание утреннего окна.</t>
        </is>
      </c>
      <c r="E10" s="2" t="inlineStr"/>
    </row>
    <row r="11">
      <c r="A11" s="2" t="inlineStr">
        <is>
          <t>Spray_Evening_Window</t>
        </is>
      </c>
      <c r="B11" s="2" t="inlineStr">
        <is>
          <t>18:00–21:00</t>
        </is>
      </c>
      <c r="C11" s="2" t="inlineStr">
        <is>
          <t>local</t>
        </is>
      </c>
      <c r="D11" s="2" t="inlineStr">
        <is>
          <t>Вечернее окно при жаре днём.</t>
        </is>
      </c>
      <c r="E11" s="2" t="inlineStr"/>
    </row>
  </sheetData>
  <autoFilter ref="A1:E1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.7" customWidth="1" min="1" max="1"/>
    <col width="45" customWidth="1" min="2" max="2"/>
    <col width="45" customWidth="1" min="3" max="3"/>
    <col width="10" customWidth="1" min="4" max="4"/>
    <col width="10" customWidth="1" min="5" max="5"/>
    <col width="10" customWidth="1" min="6" max="6"/>
    <col width="10" customWidth="1" min="7" max="7"/>
    <col width="10.8" customWidth="1" min="8" max="8"/>
    <col width="10" customWidth="1" min="9" max="9"/>
  </cols>
  <sheetData>
    <row r="1">
      <c r="A1" s="1" t="inlineStr">
        <is>
          <t>Mix_Matrix (Chem_Group)</t>
        </is>
      </c>
      <c r="B1" s="1" t="inlineStr">
        <is>
          <t>COPPER</t>
        </is>
      </c>
      <c r="C1" s="1" t="inlineStr">
        <is>
          <t>SULFUR</t>
        </is>
      </c>
      <c r="D1" s="1" t="inlineStr">
        <is>
          <t>OIL</t>
        </is>
      </c>
      <c r="E1" s="1" t="inlineStr">
        <is>
          <t>CAPTAN</t>
        </is>
      </c>
      <c r="F1" s="1" t="inlineStr">
        <is>
          <t>DMI</t>
        </is>
      </c>
      <c r="G1" s="1" t="inlineStr">
        <is>
          <t>QoI/SDHI</t>
        </is>
      </c>
      <c r="H1" s="1" t="inlineStr">
        <is>
          <t>CALCIUM_SALT</t>
        </is>
      </c>
      <c r="I1" s="1" t="inlineStr">
        <is>
          <t>PHOSPHITE</t>
        </is>
      </c>
    </row>
    <row r="2">
      <c r="A2" s="2" t="inlineStr">
        <is>
          <t>COPPER</t>
        </is>
      </c>
      <c r="B2" s="2" t="inlineStr">
        <is>
          <t>OK</t>
        </is>
      </c>
      <c r="C2" s="2" t="inlineStr">
        <is>
          <t>OK</t>
        </is>
      </c>
      <c r="D2" s="2" t="inlineStr">
        <is>
          <t>CAUTION</t>
        </is>
      </c>
      <c r="E2" s="2" t="inlineStr">
        <is>
          <t>OK</t>
        </is>
      </c>
      <c r="F2" s="2" t="inlineStr">
        <is>
          <t>OK</t>
        </is>
      </c>
      <c r="G2" s="2" t="inlineStr">
        <is>
          <t>OK</t>
        </is>
      </c>
      <c r="H2" s="2" t="inlineStr">
        <is>
          <t>OK</t>
        </is>
      </c>
      <c r="I2" s="2" t="inlineStr">
        <is>
          <t>CAUTION</t>
        </is>
      </c>
    </row>
    <row r="3">
      <c r="A3" s="2" t="inlineStr">
        <is>
          <t>SULFUR</t>
        </is>
      </c>
      <c r="B3" s="2" t="inlineStr">
        <is>
          <t>OK</t>
        </is>
      </c>
      <c r="C3" s="2" t="inlineStr">
        <is>
          <t>OK</t>
        </is>
      </c>
      <c r="D3" s="2" t="inlineStr">
        <is>
          <t>NO</t>
        </is>
      </c>
      <c r="E3" s="2" t="inlineStr">
        <is>
          <t>CAUTION</t>
        </is>
      </c>
      <c r="F3" s="2" t="inlineStr">
        <is>
          <t>OK</t>
        </is>
      </c>
      <c r="G3" s="2" t="inlineStr">
        <is>
          <t>OK</t>
        </is>
      </c>
      <c r="H3" s="2" t="inlineStr">
        <is>
          <t>OK</t>
        </is>
      </c>
      <c r="I3" s="2" t="inlineStr">
        <is>
          <t>OK</t>
        </is>
      </c>
    </row>
    <row r="4">
      <c r="A4" s="2" t="inlineStr">
        <is>
          <t>OIL</t>
        </is>
      </c>
      <c r="B4" s="2" t="inlineStr">
        <is>
          <t>CAUTION</t>
        </is>
      </c>
      <c r="C4" s="2" t="inlineStr">
        <is>
          <t>NO</t>
        </is>
      </c>
      <c r="D4" s="2" t="inlineStr">
        <is>
          <t>OK</t>
        </is>
      </c>
      <c r="E4" s="2" t="inlineStr">
        <is>
          <t>NO</t>
        </is>
      </c>
      <c r="F4" s="2" t="inlineStr">
        <is>
          <t>OK</t>
        </is>
      </c>
      <c r="G4" s="2" t="inlineStr">
        <is>
          <t>OK</t>
        </is>
      </c>
      <c r="H4" s="2" t="inlineStr">
        <is>
          <t>OK</t>
        </is>
      </c>
      <c r="I4" s="2" t="inlineStr">
        <is>
          <t>OK</t>
        </is>
      </c>
    </row>
    <row r="5">
      <c r="A5" s="2" t="inlineStr">
        <is>
          <t>CAPTAN</t>
        </is>
      </c>
      <c r="B5" s="2" t="inlineStr">
        <is>
          <t>OK</t>
        </is>
      </c>
      <c r="C5" s="2" t="inlineStr">
        <is>
          <t>CAUTION</t>
        </is>
      </c>
      <c r="D5" s="2" t="inlineStr">
        <is>
          <t>NO</t>
        </is>
      </c>
      <c r="E5" s="2" t="inlineStr">
        <is>
          <t>OK</t>
        </is>
      </c>
      <c r="F5" s="2" t="inlineStr">
        <is>
          <t>OK</t>
        </is>
      </c>
      <c r="G5" s="2" t="inlineStr">
        <is>
          <t>OK</t>
        </is>
      </c>
      <c r="H5" s="2" t="inlineStr">
        <is>
          <t>CAUTION</t>
        </is>
      </c>
      <c r="I5" s="2" t="inlineStr">
        <is>
          <t>OK</t>
        </is>
      </c>
    </row>
    <row r="6">
      <c r="A6" s="2" t="inlineStr">
        <is>
          <t>DMI</t>
        </is>
      </c>
      <c r="B6" s="2" t="inlineStr">
        <is>
          <t>OK</t>
        </is>
      </c>
      <c r="C6" s="2" t="inlineStr">
        <is>
          <t>OK</t>
        </is>
      </c>
      <c r="D6" s="2" t="inlineStr">
        <is>
          <t>OK</t>
        </is>
      </c>
      <c r="E6" s="2" t="inlineStr">
        <is>
          <t>OK</t>
        </is>
      </c>
      <c r="F6" s="2" t="inlineStr">
        <is>
          <t>OK</t>
        </is>
      </c>
      <c r="G6" s="2" t="inlineStr">
        <is>
          <t>OK</t>
        </is>
      </c>
      <c r="H6" s="2" t="inlineStr">
        <is>
          <t>OK</t>
        </is>
      </c>
      <c r="I6" s="2" t="inlineStr">
        <is>
          <t>OK</t>
        </is>
      </c>
    </row>
    <row r="7">
      <c r="A7" s="2" t="inlineStr">
        <is>
          <t>QoI/SDHI</t>
        </is>
      </c>
      <c r="B7" s="2" t="inlineStr">
        <is>
          <t>OK</t>
        </is>
      </c>
      <c r="C7" s="2" t="inlineStr">
        <is>
          <t>OK</t>
        </is>
      </c>
      <c r="D7" s="2" t="inlineStr">
        <is>
          <t>OK</t>
        </is>
      </c>
      <c r="E7" s="2" t="inlineStr">
        <is>
          <t>OK</t>
        </is>
      </c>
      <c r="F7" s="2" t="inlineStr">
        <is>
          <t>OK</t>
        </is>
      </c>
      <c r="G7" s="2" t="inlineStr">
        <is>
          <t>OK</t>
        </is>
      </c>
      <c r="H7" s="2" t="inlineStr">
        <is>
          <t>OK</t>
        </is>
      </c>
      <c r="I7" s="2" t="inlineStr">
        <is>
          <t>OK</t>
        </is>
      </c>
    </row>
    <row r="8">
      <c r="A8" s="2" t="inlineStr">
        <is>
          <t>CALCIUM_SALT</t>
        </is>
      </c>
      <c r="B8" s="2" t="inlineStr">
        <is>
          <t>OK</t>
        </is>
      </c>
      <c r="C8" s="2" t="inlineStr">
        <is>
          <t>OK</t>
        </is>
      </c>
      <c r="D8" s="2" t="inlineStr">
        <is>
          <t>OK</t>
        </is>
      </c>
      <c r="E8" s="2" t="inlineStr">
        <is>
          <t>CAUTION</t>
        </is>
      </c>
      <c r="F8" s="2" t="inlineStr">
        <is>
          <t>OK</t>
        </is>
      </c>
      <c r="G8" s="2" t="inlineStr">
        <is>
          <t>OK</t>
        </is>
      </c>
      <c r="H8" s="2" t="inlineStr">
        <is>
          <t>OK</t>
        </is>
      </c>
      <c r="I8" s="2" t="inlineStr">
        <is>
          <t>NO</t>
        </is>
      </c>
    </row>
    <row r="9">
      <c r="A9" s="2" t="inlineStr">
        <is>
          <t>PHOSPHITE</t>
        </is>
      </c>
      <c r="B9" s="2" t="inlineStr">
        <is>
          <t>CAUTION</t>
        </is>
      </c>
      <c r="C9" s="2" t="inlineStr">
        <is>
          <t>OK</t>
        </is>
      </c>
      <c r="D9" s="2" t="inlineStr">
        <is>
          <t>OK</t>
        </is>
      </c>
      <c r="E9" s="2" t="inlineStr">
        <is>
          <t>OK</t>
        </is>
      </c>
      <c r="F9" s="2" t="inlineStr">
        <is>
          <t>OK</t>
        </is>
      </c>
      <c r="G9" s="2" t="inlineStr">
        <is>
          <t>OK</t>
        </is>
      </c>
      <c r="H9" s="2" t="inlineStr">
        <is>
          <t>NO</t>
        </is>
      </c>
      <c r="I9" s="2" t="inlineStr">
        <is>
          <t>OK</t>
        </is>
      </c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</row>
    <row r="12">
      <c r="A12" s="2" t="inlineStr">
        <is>
          <t>Notes</t>
        </is>
      </c>
      <c r="B12" s="2" t="n"/>
      <c r="C12" s="2" t="n"/>
      <c r="D12" s="2" t="n"/>
      <c r="E12" s="2" t="n"/>
      <c r="F12" s="2" t="n"/>
      <c r="G12" s="2" t="n"/>
      <c r="H12" s="2" t="n"/>
      <c r="I12" s="2" t="n"/>
    </row>
    <row r="13">
      <c r="A13" s="2" t="inlineStr">
        <is>
          <t>CAPTAN+OIL</t>
        </is>
      </c>
      <c r="B13" s="2" t="inlineStr">
        <is>
          <t>NO — риск фитотоксичности/русе́ттинга (каптан и масла).</t>
        </is>
      </c>
      <c r="C13" s="2" t="inlineStr">
        <is>
          <t>https://ipm.ucanr.edu/agriculture/apple/apple-scab/</t>
        </is>
      </c>
      <c r="D13" s="2" t="n"/>
      <c r="E13" s="2" t="n"/>
      <c r="F13" s="2" t="n"/>
      <c r="G13" s="2" t="n"/>
      <c r="H13" s="2" t="n"/>
      <c r="I13" s="2" t="n"/>
    </row>
    <row r="14">
      <c r="A14" s="2" t="inlineStr">
        <is>
          <t>SULFUR+OIL</t>
        </is>
      </c>
      <c r="B14" s="2" t="inlineStr">
        <is>
          <t>NO — серу и масла не смешивать; выдерживать интервал (обычно ≥14 дней).</t>
        </is>
      </c>
      <c r="C14" s="2" t="inlineStr">
        <is>
          <t>https://treefruit.wsu.edu/article/oils-in-orchard/</t>
        </is>
      </c>
      <c r="D14" s="2" t="n"/>
      <c r="E14" s="2" t="n"/>
      <c r="F14" s="2" t="n"/>
      <c r="G14" s="2" t="n"/>
      <c r="H14" s="2" t="n"/>
      <c r="I14" s="2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.8" customWidth="1" min="2" max="2"/>
    <col width="12.6" customWidth="1" min="3" max="3"/>
    <col width="25.2" customWidth="1" min="4" max="4"/>
    <col width="10" customWidth="1" min="5" max="5"/>
    <col width="10" customWidth="1" min="6" max="6"/>
    <col width="45" customWidth="1" min="7" max="7"/>
    <col width="26.1" customWidth="1" min="8" max="8"/>
    <col width="45" customWidth="1" min="9" max="9"/>
    <col width="20.7" customWidth="1" min="10" max="10"/>
    <col width="45" customWidth="1" min="11" max="11"/>
    <col width="45" customWidth="1" min="12" max="12"/>
  </cols>
  <sheetData>
    <row r="1">
      <c r="A1" s="1" t="inlineStr">
        <is>
          <t>Rule_ID</t>
        </is>
      </c>
      <c r="B1" s="1" t="inlineStr">
        <is>
          <t>Trigger_Type</t>
        </is>
      </c>
      <c r="C1" s="1" t="inlineStr">
        <is>
          <t>Entity_Code</t>
        </is>
      </c>
      <c r="D1" s="1" t="inlineStr">
        <is>
          <t>Metric</t>
        </is>
      </c>
      <c r="E1" s="1" t="inlineStr">
        <is>
          <t>Threshold</t>
        </is>
      </c>
      <c r="F1" s="1" t="inlineStr">
        <is>
          <t>Window</t>
        </is>
      </c>
      <c r="G1" s="1" t="inlineStr">
        <is>
          <t>If_Yes_Action</t>
        </is>
      </c>
      <c r="H1" s="1" t="inlineStr">
        <is>
          <t>If_No_Action</t>
        </is>
      </c>
      <c r="I1" s="1" t="inlineStr">
        <is>
          <t>Constraints</t>
        </is>
      </c>
      <c r="J1" s="1" t="inlineStr">
        <is>
          <t>Link_to_Pesticides_DB</t>
        </is>
      </c>
      <c r="K1" s="1" t="inlineStr">
        <is>
          <t>Notes</t>
        </is>
      </c>
      <c r="L1" s="1" t="inlineStr">
        <is>
          <t>Source_URL</t>
        </is>
      </c>
    </row>
    <row r="2">
      <c r="A2" s="2" t="inlineStr">
        <is>
          <t>EMG_CM_01</t>
        </is>
      </c>
      <c r="B2" s="2" t="inlineStr">
        <is>
          <t>Pest</t>
        </is>
      </c>
      <c r="C2" s="2" t="inlineStr">
        <is>
          <t>CODLING_MOTH</t>
        </is>
      </c>
      <c r="D2" s="2" t="inlineStr">
        <is>
          <t>Trap_Catch_per_Trap_per_Week</t>
        </is>
      </c>
      <c r="E2" s="2" t="n">
        <v>5</v>
      </c>
      <c r="F2" s="2" t="inlineStr">
        <is>
          <t>7d</t>
        </is>
      </c>
      <c r="G2" s="2" t="inlineStr">
        <is>
          <t>Запустить протокол CM: обработка инсектицидом в течение 1–2 дней; назначить проверку через 7 дней.</t>
        </is>
      </c>
      <c r="H2" s="2" t="inlineStr">
        <is>
          <t>Оставить плановый мониторинг.</t>
        </is>
      </c>
      <c r="I2" s="2" t="inlineStr">
        <is>
          <t>Проверить Weather_Limits; вне цветения.</t>
        </is>
      </c>
      <c r="J2" s="2" t="inlineStr">
        <is>
          <t>Coragen/Match/пиретроид</t>
        </is>
      </c>
      <c r="K2" s="2" t="inlineStr">
        <is>
          <t>Порог из протокола; также критерий &gt;0.5% повреждений плодов.</t>
        </is>
      </c>
      <c r="L2" s="2" t="inlineStr">
        <is>
          <t>(см. PDF источники/регламент)</t>
        </is>
      </c>
    </row>
    <row r="3">
      <c r="A3" s="2" t="inlineStr">
        <is>
          <t>EMG_APH_01</t>
        </is>
      </c>
      <c r="B3" s="2" t="inlineStr">
        <is>
          <t>Pest</t>
        </is>
      </c>
      <c r="C3" s="2" t="inlineStr">
        <is>
          <t>APHID</t>
        </is>
      </c>
      <c r="D3" s="2" t="inlineStr">
        <is>
          <t>Infested_Shoots_%</t>
        </is>
      </c>
      <c r="E3" s="2" t="n">
        <v>15</v>
      </c>
      <c r="F3" s="2" t="inlineStr">
        <is>
          <t>3d</t>
        </is>
      </c>
      <c r="G3" s="2" t="inlineStr">
        <is>
          <t>Обработка системным инсектицидом; контроль через 5–7 дней.</t>
        </is>
      </c>
      <c r="H3" s="2" t="inlineStr">
        <is>
          <t>Мониторинг.</t>
        </is>
      </c>
      <c r="I3" s="2" t="inlineStr">
        <is>
          <t>После цветения, с учётом опылителей.</t>
        </is>
      </c>
      <c r="J3" s="2" t="inlineStr">
        <is>
          <t>Mospilan/Actara</t>
        </is>
      </c>
      <c r="K3" s="2" t="inlineStr"/>
      <c r="L3" s="2" t="inlineStr">
        <is>
          <t>(см. PDF источники/регламент)</t>
        </is>
      </c>
    </row>
    <row r="4">
      <c r="A4" s="2" t="inlineStr">
        <is>
          <t>EMG_MIT_01</t>
        </is>
      </c>
      <c r="B4" s="2" t="inlineStr">
        <is>
          <t>Pest</t>
        </is>
      </c>
      <c r="C4" s="2" t="inlineStr">
        <is>
          <t>MITE</t>
        </is>
      </c>
      <c r="D4" s="2" t="inlineStr">
        <is>
          <t>Mites_per_Leaf</t>
        </is>
      </c>
      <c r="E4" s="2" t="n">
        <v>5</v>
      </c>
      <c r="F4" s="2" t="inlineStr">
        <is>
          <t>1d</t>
        </is>
      </c>
      <c r="G4" s="2" t="inlineStr">
        <is>
          <t>Акарицид + повторный контроль через 10 дней.</t>
        </is>
      </c>
      <c r="H4" s="2" t="inlineStr">
        <is>
          <t>Мониторинг.</t>
        </is>
      </c>
      <c r="I4" s="2" t="inlineStr">
        <is>
          <t>Не повторять одну группу ДВ подряд.</t>
        </is>
      </c>
      <c r="J4" s="2" t="inlineStr">
        <is>
          <t>Vertimek/Envidor</t>
        </is>
      </c>
      <c r="K4" s="2" t="inlineStr">
        <is>
          <t>Порог 5–10/лист; при мраморности — без ожиданий.</t>
        </is>
      </c>
      <c r="L4" s="2" t="inlineStr">
        <is>
          <t>(см. PDF источники/регламент)</t>
        </is>
      </c>
    </row>
    <row r="5">
      <c r="A5" s="2" t="inlineStr">
        <is>
          <t>EMG_SCAB_01</t>
        </is>
      </c>
      <c r="B5" s="2" t="inlineStr">
        <is>
          <t>Disease</t>
        </is>
      </c>
      <c r="C5" s="2" t="inlineStr">
        <is>
          <t>APPLE_SCAB</t>
        </is>
      </c>
      <c r="D5" s="2" t="inlineStr">
        <is>
          <t>Mills_Risk</t>
        </is>
      </c>
      <c r="E5" s="2" t="inlineStr">
        <is>
          <t>Severe</t>
        </is>
      </c>
      <c r="F5" s="2" t="inlineStr">
        <is>
          <t>Event</t>
        </is>
      </c>
      <c r="G5" s="2" t="inlineStr">
        <is>
          <t>Если возможно — curative/eradicant в течение 24–48 ч после инфекции + восстановить защитный экран.</t>
        </is>
      </c>
      <c r="H5" s="2" t="inlineStr">
        <is>
          <t>Плановая профилактика.</t>
        </is>
      </c>
      <c r="I5" s="2" t="inlineStr">
        <is>
          <t>Учитывать Rainfastness и погоду.</t>
        </is>
      </c>
      <c r="J5" s="2" t="inlineStr">
        <is>
          <t>Score/Chorus/Captan</t>
        </is>
      </c>
      <c r="K5" s="2" t="inlineStr"/>
      <c r="L5" s="2" t="inlineStr">
        <is>
          <t>https://ipm.ucanr.edu/agriculture/apple/apple-scab/</t>
        </is>
      </c>
    </row>
    <row r="6">
      <c r="A6" s="2" t="inlineStr">
        <is>
          <t>EMG_FB_01</t>
        </is>
      </c>
      <c r="B6" s="2" t="inlineStr">
        <is>
          <t>Disease</t>
        </is>
      </c>
      <c r="C6" s="2" t="inlineStr">
        <is>
          <t>FIRE_BLIGHT</t>
        </is>
      </c>
      <c r="D6" s="2" t="inlineStr">
        <is>
          <t>EIP</t>
        </is>
      </c>
      <c r="E6" s="2" t="n">
        <v>100</v>
      </c>
      <c r="F6" s="2" t="inlineStr">
        <is>
          <t>BloomWindow</t>
        </is>
      </c>
      <c r="G6" s="2" t="inlineStr">
        <is>
          <t>При наличии цветков и прогноза увлажнения — обработка (по регламенту) и санитарные меры.</t>
        </is>
      </c>
      <c r="H6" s="2" t="inlineStr">
        <is>
          <t>Мониторинг.</t>
        </is>
      </c>
      <c r="I6" s="2" t="inlineStr">
        <is>
          <t>В цветение; учитывать ограничения по антибиотикам.</t>
        </is>
      </c>
      <c r="J6" s="2" t="inlineStr">
        <is>
          <t>Streptomycin/Copper</t>
        </is>
      </c>
      <c r="K6" s="2" t="inlineStr"/>
      <c r="L6" s="2" t="inlineStr">
        <is>
          <t>https://ipm.ucanr.edu/PMG/PESTNOTES/pn7414.html</t>
        </is>
      </c>
    </row>
    <row r="7">
      <c r="A7" s="2" t="inlineStr">
        <is>
          <t>EMG_WIND_01</t>
        </is>
      </c>
      <c r="B7" s="2" t="inlineStr">
        <is>
          <t>Weather</t>
        </is>
      </c>
      <c r="C7" s="2" t="inlineStr">
        <is>
          <t>Wind_Max_Speed</t>
        </is>
      </c>
      <c r="D7" s="2" t="inlineStr">
        <is>
          <t>Wind_m_s</t>
        </is>
      </c>
      <c r="E7" s="2" t="n">
        <v>5</v>
      </c>
      <c r="F7" s="2" t="inlineStr">
        <is>
          <t>Now</t>
        </is>
      </c>
      <c r="G7" s="2" t="inlineStr">
        <is>
          <t>Запрет опрыскивания, перенести в окно погоды.</t>
        </is>
      </c>
      <c r="H7" s="2" t="inlineStr">
        <is>
          <t>Разрешить.</t>
        </is>
      </c>
      <c r="I7" s="2" t="inlineStr"/>
      <c r="J7" s="2" t="inlineStr"/>
      <c r="K7" s="2" t="inlineStr">
        <is>
          <t>Использует Weather_Limits как константы.</t>
        </is>
      </c>
      <c r="L7" s="2" t="inlineStr">
        <is>
          <t>(см. PDF источники/регламент)</t>
        </is>
      </c>
    </row>
  </sheetData>
  <autoFilter ref="A1:L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2025-12-20T17:33:43Z</dcterms:created>
  <dcterms:modified xmlns:dcterms="http://purl.org/dc/terms/" xmlns:xsi="http://www.w3.org/2001/XMLSchema-instance" xsi:type="dcterms:W3CDTF">2025-12-20T17:33:44Z</dcterms:modified>
</cp:coreProperties>
</file>